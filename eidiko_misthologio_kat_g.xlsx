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xr:revisionPtr revIDLastSave="0" documentId="11_090669F15441504F6A43A8D55B5DCE3A6742F5AA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Νέα Πρόταση" sheetId="1" r:id="rId1"/>
  </sheets>
  <definedNames>
    <definedName name="_xlnm._FilterDatabase" localSheetId="0" hidden="1">'Νέα Πρόταση'!$A$1:$L$139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9" i="1" l="1"/>
  <c r="I139" i="1"/>
  <c r="L139" i="1"/>
  <c r="G138" i="1"/>
  <c r="I138" i="1"/>
  <c r="L138" i="1"/>
  <c r="G137" i="1"/>
  <c r="I137" i="1"/>
  <c r="L137" i="1"/>
  <c r="G136" i="1"/>
  <c r="I136" i="1"/>
  <c r="L136" i="1"/>
  <c r="G135" i="1"/>
  <c r="I135" i="1"/>
  <c r="L135" i="1"/>
  <c r="G134" i="1"/>
  <c r="I134" i="1"/>
  <c r="L134" i="1"/>
  <c r="G133" i="1"/>
  <c r="I133" i="1"/>
  <c r="L133" i="1"/>
  <c r="G132" i="1"/>
  <c r="I132" i="1"/>
  <c r="L132" i="1"/>
  <c r="G131" i="1"/>
  <c r="I131" i="1"/>
  <c r="L131" i="1"/>
  <c r="G130" i="1"/>
  <c r="I130" i="1"/>
  <c r="L130" i="1"/>
  <c r="G129" i="1"/>
  <c r="I129" i="1"/>
  <c r="L129" i="1"/>
  <c r="G128" i="1"/>
  <c r="I128" i="1"/>
  <c r="L128" i="1"/>
  <c r="G127" i="1"/>
  <c r="I127" i="1"/>
  <c r="L127" i="1"/>
  <c r="G126" i="1"/>
  <c r="I126" i="1"/>
  <c r="L126" i="1"/>
  <c r="G125" i="1"/>
  <c r="I125" i="1"/>
  <c r="L125" i="1"/>
  <c r="G124" i="1"/>
  <c r="I124" i="1"/>
  <c r="L124" i="1"/>
  <c r="G123" i="1"/>
  <c r="I123" i="1"/>
  <c r="L123" i="1"/>
  <c r="G122" i="1"/>
  <c r="I122" i="1"/>
  <c r="L122" i="1"/>
  <c r="G121" i="1"/>
  <c r="I121" i="1"/>
  <c r="L121" i="1"/>
  <c r="G120" i="1"/>
  <c r="I120" i="1"/>
  <c r="L120" i="1"/>
  <c r="G119" i="1"/>
  <c r="I119" i="1"/>
  <c r="L119" i="1"/>
  <c r="G118" i="1"/>
  <c r="I118" i="1"/>
  <c r="L118" i="1"/>
  <c r="G117" i="1"/>
  <c r="I117" i="1"/>
  <c r="L117" i="1"/>
  <c r="G116" i="1"/>
  <c r="I116" i="1"/>
  <c r="L116" i="1"/>
  <c r="G115" i="1"/>
  <c r="I115" i="1"/>
  <c r="L115" i="1"/>
  <c r="G114" i="1"/>
  <c r="I114" i="1"/>
  <c r="L114" i="1"/>
  <c r="G113" i="1"/>
  <c r="I113" i="1"/>
  <c r="L113" i="1"/>
  <c r="G112" i="1"/>
  <c r="I112" i="1"/>
  <c r="L112" i="1"/>
  <c r="G111" i="1"/>
  <c r="I111" i="1"/>
  <c r="L111" i="1"/>
  <c r="G110" i="1"/>
  <c r="I110" i="1"/>
  <c r="L110" i="1"/>
  <c r="G109" i="1"/>
  <c r="I109" i="1"/>
  <c r="L109" i="1"/>
  <c r="G108" i="1"/>
  <c r="I108" i="1"/>
  <c r="L108" i="1"/>
  <c r="G107" i="1"/>
  <c r="I107" i="1"/>
  <c r="L107" i="1"/>
  <c r="G106" i="1"/>
  <c r="I106" i="1"/>
  <c r="L106" i="1"/>
  <c r="G105" i="1"/>
  <c r="I105" i="1"/>
  <c r="L105" i="1"/>
  <c r="G104" i="1"/>
  <c r="I104" i="1"/>
  <c r="L104" i="1"/>
  <c r="G103" i="1"/>
  <c r="I103" i="1"/>
  <c r="L103" i="1"/>
  <c r="G102" i="1"/>
  <c r="I102" i="1"/>
  <c r="L102" i="1"/>
  <c r="G101" i="1"/>
  <c r="I101" i="1"/>
  <c r="L101" i="1"/>
  <c r="G100" i="1"/>
  <c r="I100" i="1"/>
  <c r="L100" i="1"/>
  <c r="G99" i="1"/>
  <c r="I99" i="1"/>
  <c r="L99" i="1"/>
  <c r="G98" i="1"/>
  <c r="I98" i="1"/>
  <c r="L98" i="1"/>
  <c r="G97" i="1"/>
  <c r="I97" i="1"/>
  <c r="L97" i="1"/>
  <c r="G96" i="1"/>
  <c r="I96" i="1"/>
  <c r="L96" i="1"/>
  <c r="G95" i="1"/>
  <c r="I95" i="1"/>
  <c r="L95" i="1"/>
  <c r="G94" i="1"/>
  <c r="I94" i="1"/>
  <c r="L94" i="1"/>
  <c r="G93" i="1"/>
  <c r="I93" i="1"/>
  <c r="L93" i="1"/>
  <c r="G92" i="1"/>
  <c r="I92" i="1"/>
  <c r="L92" i="1"/>
  <c r="G91" i="1"/>
  <c r="I91" i="1"/>
  <c r="L91" i="1"/>
  <c r="G90" i="1"/>
  <c r="I90" i="1"/>
  <c r="L90" i="1"/>
  <c r="G89" i="1"/>
  <c r="I89" i="1"/>
  <c r="L89" i="1"/>
  <c r="G88" i="1"/>
  <c r="I88" i="1"/>
  <c r="L88" i="1"/>
  <c r="G87" i="1"/>
  <c r="I87" i="1"/>
  <c r="L87" i="1"/>
  <c r="G86" i="1"/>
  <c r="I86" i="1"/>
  <c r="L86" i="1"/>
  <c r="G85" i="1"/>
  <c r="I85" i="1"/>
  <c r="L85" i="1"/>
  <c r="G84" i="1"/>
  <c r="I84" i="1"/>
  <c r="L84" i="1"/>
  <c r="G83" i="1"/>
  <c r="I83" i="1"/>
  <c r="L83" i="1"/>
  <c r="G82" i="1"/>
  <c r="I82" i="1"/>
  <c r="L82" i="1"/>
  <c r="G81" i="1"/>
  <c r="I81" i="1"/>
  <c r="L81" i="1"/>
  <c r="G80" i="1"/>
  <c r="I80" i="1"/>
  <c r="L80" i="1"/>
  <c r="G79" i="1"/>
  <c r="I79" i="1"/>
  <c r="L79" i="1"/>
  <c r="G78" i="1"/>
  <c r="I78" i="1"/>
  <c r="L78" i="1"/>
  <c r="G77" i="1"/>
  <c r="I77" i="1"/>
  <c r="L77" i="1"/>
  <c r="G76" i="1"/>
  <c r="I76" i="1"/>
  <c r="L76" i="1"/>
  <c r="G75" i="1"/>
  <c r="I75" i="1"/>
  <c r="L75" i="1"/>
  <c r="G74" i="1"/>
  <c r="I74" i="1"/>
  <c r="L74" i="1"/>
  <c r="G73" i="1"/>
  <c r="I73" i="1"/>
  <c r="L73" i="1"/>
  <c r="G72" i="1"/>
  <c r="I72" i="1"/>
  <c r="L72" i="1"/>
  <c r="G71" i="1"/>
  <c r="I71" i="1"/>
  <c r="L71" i="1"/>
  <c r="G70" i="1"/>
  <c r="I70" i="1"/>
  <c r="L70" i="1"/>
  <c r="G69" i="1"/>
  <c r="I69" i="1"/>
  <c r="L69" i="1"/>
  <c r="G68" i="1"/>
  <c r="I68" i="1"/>
  <c r="L68" i="1"/>
  <c r="G67" i="1"/>
  <c r="I67" i="1"/>
  <c r="L67" i="1"/>
  <c r="G66" i="1"/>
  <c r="I66" i="1"/>
  <c r="L66" i="1"/>
  <c r="G65" i="1"/>
  <c r="I65" i="1"/>
  <c r="L65" i="1"/>
  <c r="G64" i="1"/>
  <c r="I64" i="1"/>
  <c r="L64" i="1"/>
  <c r="G63" i="1"/>
  <c r="I63" i="1"/>
  <c r="L63" i="1"/>
  <c r="G62" i="1"/>
  <c r="I62" i="1"/>
  <c r="L62" i="1"/>
  <c r="G61" i="1"/>
  <c r="I61" i="1"/>
  <c r="L61" i="1"/>
  <c r="G60" i="1"/>
  <c r="I60" i="1"/>
  <c r="L60" i="1"/>
  <c r="G59" i="1"/>
  <c r="I59" i="1"/>
  <c r="L59" i="1"/>
  <c r="G58" i="1"/>
  <c r="I58" i="1"/>
  <c r="L58" i="1"/>
  <c r="G57" i="1"/>
  <c r="I57" i="1"/>
  <c r="L57" i="1"/>
  <c r="G56" i="1"/>
  <c r="I56" i="1"/>
  <c r="L56" i="1"/>
  <c r="G55" i="1"/>
  <c r="I55" i="1"/>
  <c r="L55" i="1"/>
  <c r="G54" i="1"/>
  <c r="I54" i="1"/>
  <c r="L54" i="1"/>
  <c r="G53" i="1"/>
  <c r="I53" i="1"/>
  <c r="L53" i="1"/>
  <c r="G52" i="1"/>
  <c r="I52" i="1"/>
  <c r="L52" i="1"/>
  <c r="G51" i="1"/>
  <c r="I51" i="1"/>
  <c r="L51" i="1"/>
  <c r="G50" i="1"/>
  <c r="I50" i="1"/>
  <c r="L50" i="1"/>
  <c r="G49" i="1"/>
  <c r="I49" i="1"/>
  <c r="L49" i="1"/>
  <c r="G48" i="1"/>
  <c r="I48" i="1"/>
  <c r="L48" i="1"/>
  <c r="G47" i="1"/>
  <c r="I47" i="1"/>
  <c r="L47" i="1"/>
  <c r="G46" i="1"/>
  <c r="I46" i="1"/>
  <c r="L46" i="1"/>
  <c r="G45" i="1"/>
  <c r="I45" i="1"/>
  <c r="L45" i="1"/>
  <c r="G44" i="1"/>
  <c r="I44" i="1"/>
  <c r="L44" i="1"/>
  <c r="G43" i="1"/>
  <c r="I43" i="1"/>
  <c r="L43" i="1"/>
  <c r="G42" i="1"/>
  <c r="I42" i="1"/>
  <c r="L42" i="1"/>
  <c r="G41" i="1"/>
  <c r="I41" i="1"/>
  <c r="L41" i="1"/>
  <c r="G40" i="1"/>
  <c r="I40" i="1"/>
  <c r="L40" i="1"/>
  <c r="G39" i="1"/>
  <c r="I39" i="1"/>
  <c r="L39" i="1"/>
  <c r="G38" i="1"/>
  <c r="I38" i="1"/>
  <c r="L38" i="1"/>
  <c r="G37" i="1"/>
  <c r="I37" i="1"/>
  <c r="L37" i="1"/>
  <c r="G36" i="1"/>
  <c r="I36" i="1"/>
  <c r="L36" i="1"/>
  <c r="G35" i="1"/>
  <c r="I35" i="1"/>
  <c r="L35" i="1"/>
  <c r="G34" i="1"/>
  <c r="I34" i="1"/>
  <c r="L34" i="1"/>
  <c r="G33" i="1"/>
  <c r="I33" i="1"/>
  <c r="L33" i="1"/>
  <c r="G32" i="1"/>
  <c r="I32" i="1"/>
  <c r="L32" i="1"/>
  <c r="G31" i="1"/>
  <c r="I31" i="1"/>
  <c r="L31" i="1"/>
  <c r="G30" i="1"/>
  <c r="I30" i="1"/>
  <c r="L30" i="1"/>
  <c r="G29" i="1"/>
  <c r="I29" i="1"/>
  <c r="L29" i="1"/>
  <c r="G28" i="1"/>
  <c r="I28" i="1"/>
  <c r="L28" i="1"/>
  <c r="G27" i="1"/>
  <c r="I27" i="1"/>
  <c r="L27" i="1"/>
  <c r="G26" i="1"/>
  <c r="I26" i="1"/>
  <c r="L26" i="1"/>
  <c r="G25" i="1"/>
  <c r="I25" i="1"/>
  <c r="L25" i="1"/>
  <c r="G24" i="1"/>
  <c r="I24" i="1"/>
  <c r="L24" i="1"/>
  <c r="G23" i="1"/>
  <c r="I23" i="1"/>
  <c r="L23" i="1"/>
  <c r="G22" i="1"/>
  <c r="I22" i="1"/>
  <c r="L22" i="1"/>
  <c r="G21" i="1"/>
  <c r="I21" i="1"/>
  <c r="L21" i="1"/>
  <c r="G20" i="1"/>
  <c r="I20" i="1"/>
  <c r="L20" i="1"/>
  <c r="G19" i="1"/>
  <c r="I19" i="1"/>
  <c r="L19" i="1"/>
  <c r="G18" i="1"/>
  <c r="I18" i="1"/>
  <c r="L18" i="1"/>
  <c r="G17" i="1"/>
  <c r="I17" i="1"/>
  <c r="L17" i="1"/>
  <c r="G16" i="1"/>
  <c r="I16" i="1"/>
  <c r="L16" i="1"/>
  <c r="G15" i="1"/>
  <c r="I15" i="1"/>
  <c r="L15" i="1"/>
  <c r="G14" i="1"/>
  <c r="I14" i="1"/>
  <c r="L14" i="1"/>
  <c r="G13" i="1"/>
  <c r="I13" i="1"/>
  <c r="L13" i="1"/>
  <c r="G12" i="1"/>
  <c r="I12" i="1"/>
  <c r="L12" i="1"/>
  <c r="G11" i="1"/>
  <c r="I11" i="1"/>
  <c r="L11" i="1"/>
  <c r="G10" i="1"/>
  <c r="I10" i="1"/>
  <c r="L10" i="1"/>
  <c r="G9" i="1"/>
  <c r="I9" i="1"/>
  <c r="L9" i="1"/>
  <c r="G8" i="1"/>
  <c r="I8" i="1"/>
  <c r="L8" i="1"/>
  <c r="G7" i="1"/>
  <c r="I7" i="1"/>
  <c r="L7" i="1"/>
  <c r="G6" i="1"/>
  <c r="I6" i="1"/>
  <c r="L6" i="1"/>
  <c r="G5" i="1"/>
  <c r="I5" i="1"/>
  <c r="L5" i="1"/>
  <c r="G4" i="1"/>
  <c r="I4" i="1"/>
  <c r="L4" i="1"/>
  <c r="G3" i="1"/>
  <c r="I3" i="1"/>
  <c r="L3" i="1"/>
  <c r="G2" i="1"/>
  <c r="I2" i="1"/>
  <c r="L2" i="1"/>
</calcChain>
</file>

<file path=xl/sharedStrings.xml><?xml version="1.0" encoding="utf-8"?>
<sst xmlns="http://schemas.openxmlformats.org/spreadsheetml/2006/main" count="429" uniqueCount="46">
  <si>
    <t>Έτη υπηρεσίας / βαθμός</t>
  </si>
  <si>
    <t>Μ.Κ.</t>
  </si>
  <si>
    <t>Οικογενειακή κατάσταση</t>
  </si>
  <si>
    <t>Μισθολογική κατηγορία</t>
  </si>
  <si>
    <t>Βασικός Μ.Κ.</t>
  </si>
  <si>
    <t>Συντελεστής βαθμού</t>
  </si>
  <si>
    <t>Βασικός × συντελεστή</t>
  </si>
  <si>
    <t>Αύξηση 40 €</t>
  </si>
  <si>
    <t>Νέος βασικός μισθός</t>
  </si>
  <si>
    <t>Επίδομα ειδικών συνθηκών</t>
  </si>
  <si>
    <t>Επίδομα τέκνων</t>
  </si>
  <si>
    <t>ΣΥΝΟΛΟ ΜΙΚΤΩΝ</t>
  </si>
  <si>
    <t xml:space="preserve"> 0-3(ΦΡΟΥΡΟΣ)</t>
  </si>
  <si>
    <t>Άγαμος</t>
  </si>
  <si>
    <t>Δ΄</t>
  </si>
  <si>
    <t>Έγγαμος χωρίς παιδιά</t>
  </si>
  <si>
    <t>1 παιδί</t>
  </si>
  <si>
    <t>2 παιδιά</t>
  </si>
  <si>
    <t>3 παιδιά</t>
  </si>
  <si>
    <t>4 παιδιά</t>
  </si>
  <si>
    <t>3-5(ΦΡΟΥΡΟΣ)</t>
  </si>
  <si>
    <t>5-7(ΦΡΟΥΡΟΣ)</t>
  </si>
  <si>
    <t>7-9(ΦΡΟΥΡΟΣ)</t>
  </si>
  <si>
    <t>9-10(ΦΡΟΥΡΟΣ)</t>
  </si>
  <si>
    <t>10-11(ΥΠΑΡΧ Β)</t>
  </si>
  <si>
    <t>Γ΄</t>
  </si>
  <si>
    <t>11-13(ΥΠΑΡΧ Β)</t>
  </si>
  <si>
    <t>13-15(ΥΠΑΡΧ Β)</t>
  </si>
  <si>
    <t>15-17(ΥΠΑΡΧ Β)</t>
  </si>
  <si>
    <t>17-19(ΥΠΑΡΧ Β)</t>
  </si>
  <si>
    <t>19-20(ΥΠΑΡΧ Β)</t>
  </si>
  <si>
    <t>20-21(ΥΠΑΡΧ Α)</t>
  </si>
  <si>
    <t>21-23(ΥΠΑΡΧ Α)</t>
  </si>
  <si>
    <t>23-25(ΥΠΑΡΧ Α)</t>
  </si>
  <si>
    <t>25-27(ΥΠΑΡΧ Α)</t>
  </si>
  <si>
    <t>27-28(ΥΠΑΡΧ Α)</t>
  </si>
  <si>
    <t>28-29(ΑΡΧΙΦΥΛΑΚΑΣ)</t>
  </si>
  <si>
    <t>29-31(ΑΡΧΙΦΥΛΑΚΑΣ)</t>
  </si>
  <si>
    <t>31-33(ΑΡΧΙΦΥΛΑΚΑΣ)</t>
  </si>
  <si>
    <t>33-35(ΑΡΧΙΦΥΛΑΚΑΣ)</t>
  </si>
  <si>
    <t>35-37(ΑΡΧΙΦΥΛΑΚΑΣ)</t>
  </si>
  <si>
    <t>37-39(ΑΡΧΙΦΥΛΑΚΑΣ)</t>
  </si>
  <si>
    <t>39-40+(ΑΡΧΙΦΥΛΑΚΑΣ)</t>
  </si>
  <si>
    <t>Τρόπος υπολογισμού:</t>
  </si>
  <si>
    <t>Βασικός Μ.Κ. × συντελεστής βαθμού + 40 €.</t>
  </si>
  <si>
    <t>Το σύνολο μικτών περιλαμβάνει νέο βασικό μισθό + επίδομα ειδικών συνθηκών + επίδομα τέκνων.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</si>
</sst>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&quot; €&quot;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b/>
      <sz val="11"/>
      <color rgb="FF17365D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2" fontId="0" fillId="0" borderId="1" xfId="0" applyNumberForma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164" fontId="0" fillId="0" borderId="0" xfId="0" applyNumberFormat="1" applyBorder="1" applyAlignment="1">
      <alignment horizontal="center" vertical="center" wrapText="1"/>
    </xf>
    <xf numFmtId="2" fontId="0" fillId="0" borderId="0" xfId="0" applyNumberForma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/>
  </cellXfs>
  <cellStyles count="1">
    <cellStyle name="Κανονικό" xfId="0" builtinId="0"/>
  </cellStyles>
  <dxfs count="18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scheme val="none"/>
      </font>
      <fill>
        <patternFill patternType="solid">
          <fgColor indexed="64"/>
          <bgColor rgb="FF17365D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4" formatCode="#,##0.00&quot; €&quot;"/>
      <alignment horizontal="center" vertical="center" textRotation="0" wrapText="1" indent="0" justifyLastLine="0" shrinkToFit="0" readingOrder="0"/>
      <border diagonalUp="0" diagonalDown="0">
        <left/>
        <right/>
        <top/>
        <bottom style="thin">
          <color rgb="FFD9E2F3"/>
        </bottom>
        <vertical/>
        <horizontal/>
      </border>
    </dxf>
    <dxf>
      <numFmt numFmtId="164" formatCode="#,##0.00&quot; €&quot;"/>
      <alignment horizontal="center" vertical="center" textRotation="0" wrapText="1" indent="0" justifyLastLine="0" shrinkToFit="0" readingOrder="0"/>
      <border diagonalUp="0" diagonalDown="0">
        <left/>
        <right/>
        <top/>
        <bottom style="thin">
          <color rgb="FFD9E2F3"/>
        </bottom>
        <vertical/>
        <horizontal/>
      </border>
    </dxf>
    <dxf>
      <numFmt numFmtId="164" formatCode="#,##0.00&quot; €&quot;"/>
      <alignment horizontal="center" vertical="center" textRotation="0" wrapText="1" indent="0" justifyLastLine="0" shrinkToFit="0" readingOrder="0"/>
      <border diagonalUp="0" diagonalDown="0">
        <left/>
        <right/>
        <top/>
        <bottom style="thin">
          <color rgb="FFD9E2F3"/>
        </bottom>
        <vertical/>
        <horizontal/>
      </border>
    </dxf>
    <dxf>
      <border outline="0">
        <bottom style="thin">
          <color rgb="FFD9E2F3"/>
        </bottom>
      </border>
    </dxf>
    <dxf>
      <numFmt numFmtId="164" formatCode="#,##0.00&quot; €&quot;"/>
      <alignment horizontal="center" vertical="center" textRotation="0" wrapText="1" indent="0" justifyLastLine="0" shrinkToFit="0" readingOrder="0"/>
      <border diagonalUp="0" diagonalDown="0">
        <left/>
        <right/>
        <top/>
        <bottom style="thin">
          <color rgb="FFD9E2F3"/>
        </bottom>
        <vertical/>
        <horizontal/>
      </border>
    </dxf>
    <dxf>
      <numFmt numFmtId="164" formatCode="#,##0.00&quot; €&quot;"/>
      <alignment horizontal="center" vertical="center" textRotation="0" wrapText="1" indent="0" justifyLastLine="0" shrinkToFit="0" readingOrder="0"/>
      <border diagonalUp="0" diagonalDown="0">
        <left/>
        <right/>
        <top/>
        <bottom style="thin">
          <color rgb="FFD9E2F3"/>
        </bottom>
        <vertical/>
        <horizontal/>
      </border>
    </dxf>
    <dxf>
      <numFmt numFmtId="164" formatCode="#,##0.00&quot; €&quot;"/>
      <alignment horizontal="center" vertical="center" textRotation="0" wrapText="1" indent="0" justifyLastLine="0" shrinkToFit="0" readingOrder="0"/>
      <border diagonalUp="0" diagonalDown="0">
        <left/>
        <right/>
        <top/>
        <bottom style="thin">
          <color rgb="FFD9E2F3"/>
        </bottom>
        <vertical/>
        <horizontal/>
      </border>
    </dxf>
    <dxf>
      <numFmt numFmtId="2" formatCode="0.00"/>
      <alignment horizontal="center" vertical="center" textRotation="0" wrapText="1" indent="0" justifyLastLine="0" shrinkToFit="0" readingOrder="0"/>
      <border diagonalUp="0" diagonalDown="0">
        <left/>
        <right/>
        <top/>
        <bottom style="thin">
          <color rgb="FFD9E2F3"/>
        </bottom>
        <vertical/>
        <horizontal/>
      </border>
    </dxf>
    <dxf>
      <numFmt numFmtId="164" formatCode="#,##0.00&quot; €&quot;"/>
      <alignment horizontal="center" vertical="center" textRotation="0" wrapText="1" indent="0" justifyLastLine="0" shrinkToFit="0" readingOrder="0"/>
      <border diagonalUp="0" diagonalDown="0">
        <left/>
        <right/>
        <top/>
        <bottom style="thin">
          <color rgb="FFD9E2F3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/>
        <top/>
        <bottom style="thin">
          <color rgb="FFD9E2F3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/>
        <top/>
        <bottom style="thin">
          <color rgb="FFD9E2F3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/>
        <top/>
        <bottom style="thin">
          <color rgb="FFD9E2F3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/>
        <top/>
        <bottom style="thin">
          <color rgb="FFD9E2F3"/>
        </bottom>
        <vertical/>
        <horizontal/>
      </border>
    </dxf>
    <dxf>
      <border outline="0">
        <bottom style="thin">
          <color rgb="FFD9E2F3"/>
        </bottom>
      </border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scheme val="none"/>
      </font>
      <fill>
        <patternFill patternType="solid">
          <fgColor indexed="64"/>
          <bgColor rgb="FF17365D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A56D92-7167-A543-A63E-522C5D752F92}" name="Πίνακας1" displayName="Πίνακας1" ref="A1:I139" totalsRowShown="0" headerRowDxfId="17" dataDxfId="16" tableBorderDxfId="15">
  <autoFilter ref="A1:I139" xr:uid="{B6A56D92-7167-A543-A63E-522C5D752F92}"/>
  <tableColumns count="9">
    <tableColumn id="1" xr3:uid="{71921B50-C79F-E04F-9A22-B1D237BAB0B8}" name="Έτη υπηρεσίας / βαθμός" dataDxfId="14"/>
    <tableColumn id="2" xr3:uid="{A3E9D61C-77E6-BB41-B35F-3A7006094D7E}" name="Μ.Κ." dataDxfId="13"/>
    <tableColumn id="3" xr3:uid="{A7E6DCCD-A8E3-874E-89DB-8C34B6E23D19}" name="Οικογενειακή κατάσταση" dataDxfId="12"/>
    <tableColumn id="4" xr3:uid="{613F1605-0E75-E34B-86FC-CE77BFC9C417}" name="Μισθολογική κατηγορία" dataDxfId="11"/>
    <tableColumn id="5" xr3:uid="{0CB9FBE3-8987-CE4F-BE76-A063C1F9A18C}" name="Βασικός Μ.Κ." dataDxfId="10"/>
    <tableColumn id="6" xr3:uid="{A3630C2F-D104-3B46-8101-DB68F2CB7C76}" name="Συντελεστής βαθμού" dataDxfId="9"/>
    <tableColumn id="7" xr3:uid="{0FD16394-3D03-BC48-8D17-583806C733AB}" name="Βασικός × συντελεστή" dataDxfId="8">
      <calculatedColumnFormula>E2*F2</calculatedColumnFormula>
    </tableColumn>
    <tableColumn id="8" xr3:uid="{6CC80F9B-5A3A-424E-9EC4-90C10DF95982}" name="Αύξηση 40 €" dataDxfId="7"/>
    <tableColumn id="9" xr3:uid="{E0291D36-5F10-1F4C-B3E6-7D1E7540D005}" name="Νέος βασικός μισθός" dataDxfId="6">
      <calculatedColumnFormula>G2+H2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753B91-BCF9-774C-9DED-7D88C06D7CD8}" name="Πίνακας2" displayName="Πίνακας2" ref="J1:L139" totalsRowShown="0" headerRowDxfId="0" dataDxfId="1" tableBorderDxfId="5">
  <autoFilter ref="J1:L139" xr:uid="{48753B91-BCF9-774C-9DED-7D88C06D7CD8}"/>
  <tableColumns count="3">
    <tableColumn id="1" xr3:uid="{6754E2D0-A62B-1748-8EEC-56E6DC7AF57F}" name="Επίδομα ειδικών συνθηκών" dataDxfId="4"/>
    <tableColumn id="2" xr3:uid="{B850D188-C0A6-424E-8F2E-9B68688844A7}" name="Επίδομα τέκνων" dataDxfId="3"/>
    <tableColumn id="3" xr3:uid="{91391F86-FCF8-6E42-9953-73EE3A08665D}" name="ΣΥΝΟΛΟ ΜΙΚΤΩΝ" dataDxfId="2">
      <calculatedColumnFormula>I2+J2+K2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 /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2"/>
  <sheetViews>
    <sheetView tabSelected="1" topLeftCell="J1" workbookViewId="0">
      <pane ySplit="1" topLeftCell="J120" activePane="bottomLeft" state="frozen"/>
      <selection activeCell="J1" sqref="J1"/>
      <selection pane="bottomLeft" activeCell="J1" sqref="J1:L139"/>
    </sheetView>
  </sheetViews>
  <sheetFormatPr defaultRowHeight="15" x14ac:dyDescent="0.2"/>
  <cols>
    <col min="1" max="1" width="23.80859375" style="3" customWidth="1"/>
    <col min="2" max="2" width="7.93359375" style="4" customWidth="1"/>
    <col min="3" max="3" width="27.0390625" style="4" customWidth="1"/>
    <col min="4" max="4" width="23.5390625" style="3" customWidth="1"/>
    <col min="5" max="5" width="16.94921875" style="3" customWidth="1"/>
    <col min="6" max="6" width="20.58203125" style="4" customWidth="1"/>
    <col min="7" max="7" width="23" style="4" customWidth="1"/>
    <col min="8" max="8" width="14.9296875" style="4" customWidth="1"/>
    <col min="9" max="9" width="22.05859375" style="4" customWidth="1"/>
    <col min="10" max="10" width="26.23046875" style="4" customWidth="1"/>
    <col min="11" max="12" width="18.0234375" style="4" customWidth="1"/>
  </cols>
  <sheetData>
    <row r="1" spans="1:12" ht="44.1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">
      <c r="A2" s="5" t="s">
        <v>12</v>
      </c>
      <c r="B2" s="5">
        <v>1</v>
      </c>
      <c r="C2" s="5" t="s">
        <v>13</v>
      </c>
      <c r="D2" s="5" t="s">
        <v>14</v>
      </c>
      <c r="E2" s="2">
        <v>1100</v>
      </c>
      <c r="F2" s="7">
        <v>1.02</v>
      </c>
      <c r="G2" s="2">
        <f>E2*F2</f>
        <v>1122</v>
      </c>
      <c r="H2" s="2">
        <v>40</v>
      </c>
      <c r="I2" s="2">
        <f>G2+H2</f>
        <v>1162</v>
      </c>
      <c r="J2" s="2">
        <v>205</v>
      </c>
      <c r="K2" s="2">
        <v>0</v>
      </c>
      <c r="L2" s="2">
        <f>I2+J2+K2</f>
        <v>1367</v>
      </c>
    </row>
    <row r="3" spans="1:12" x14ac:dyDescent="0.2">
      <c r="A3" s="5" t="s">
        <v>12</v>
      </c>
      <c r="B3" s="5">
        <v>1</v>
      </c>
      <c r="C3" s="5" t="s">
        <v>15</v>
      </c>
      <c r="D3" s="5" t="s">
        <v>14</v>
      </c>
      <c r="E3" s="2">
        <v>1100</v>
      </c>
      <c r="F3" s="7">
        <v>1.02</v>
      </c>
      <c r="G3" s="2">
        <f>E3*F3</f>
        <v>1122</v>
      </c>
      <c r="H3" s="2">
        <v>40</v>
      </c>
      <c r="I3" s="2">
        <f>G3+H3</f>
        <v>1162</v>
      </c>
      <c r="J3" s="2">
        <v>275</v>
      </c>
      <c r="K3" s="2">
        <v>0</v>
      </c>
      <c r="L3" s="2">
        <f>I3+J3+K3</f>
        <v>1437</v>
      </c>
    </row>
    <row r="4" spans="1:12" x14ac:dyDescent="0.2">
      <c r="A4" s="5" t="s">
        <v>12</v>
      </c>
      <c r="B4" s="5">
        <v>1</v>
      </c>
      <c r="C4" s="5" t="s">
        <v>16</v>
      </c>
      <c r="D4" s="5" t="s">
        <v>14</v>
      </c>
      <c r="E4" s="2">
        <v>1100</v>
      </c>
      <c r="F4" s="7">
        <v>1.02</v>
      </c>
      <c r="G4" s="2">
        <f>E4*F4</f>
        <v>1122</v>
      </c>
      <c r="H4" s="2">
        <v>40</v>
      </c>
      <c r="I4" s="2">
        <f>G4+H4</f>
        <v>1162</v>
      </c>
      <c r="J4" s="2">
        <v>335</v>
      </c>
      <c r="K4" s="2">
        <v>70</v>
      </c>
      <c r="L4" s="2">
        <f>I4+J4+K4</f>
        <v>1567</v>
      </c>
    </row>
    <row r="5" spans="1:12" x14ac:dyDescent="0.2">
      <c r="A5" s="5" t="s">
        <v>12</v>
      </c>
      <c r="B5" s="5">
        <v>1</v>
      </c>
      <c r="C5" s="5" t="s">
        <v>17</v>
      </c>
      <c r="D5" s="5" t="s">
        <v>14</v>
      </c>
      <c r="E5" s="2">
        <v>1100</v>
      </c>
      <c r="F5" s="7">
        <v>1.02</v>
      </c>
      <c r="G5" s="2">
        <f>E5*F5</f>
        <v>1122</v>
      </c>
      <c r="H5" s="2">
        <v>40</v>
      </c>
      <c r="I5" s="2">
        <f>G5+H5</f>
        <v>1162</v>
      </c>
      <c r="J5" s="2">
        <v>335</v>
      </c>
      <c r="K5" s="2">
        <v>120</v>
      </c>
      <c r="L5" s="2">
        <f>I5+J5+K5</f>
        <v>1617</v>
      </c>
    </row>
    <row r="6" spans="1:12" x14ac:dyDescent="0.2">
      <c r="A6" s="5" t="s">
        <v>12</v>
      </c>
      <c r="B6" s="5">
        <v>1</v>
      </c>
      <c r="C6" s="5" t="s">
        <v>18</v>
      </c>
      <c r="D6" s="5" t="s">
        <v>14</v>
      </c>
      <c r="E6" s="2">
        <v>1100</v>
      </c>
      <c r="F6" s="7">
        <v>1.02</v>
      </c>
      <c r="G6" s="2">
        <f>E6*F6</f>
        <v>1122</v>
      </c>
      <c r="H6" s="2">
        <v>40</v>
      </c>
      <c r="I6" s="2">
        <f>G6+H6</f>
        <v>1162</v>
      </c>
      <c r="J6" s="2">
        <v>335</v>
      </c>
      <c r="K6" s="2">
        <v>170</v>
      </c>
      <c r="L6" s="2">
        <f>I6+J6+K6</f>
        <v>1667</v>
      </c>
    </row>
    <row r="7" spans="1:12" x14ac:dyDescent="0.2">
      <c r="A7" s="5" t="s">
        <v>12</v>
      </c>
      <c r="B7" s="5">
        <v>1</v>
      </c>
      <c r="C7" s="5" t="s">
        <v>19</v>
      </c>
      <c r="D7" s="5" t="s">
        <v>14</v>
      </c>
      <c r="E7" s="2">
        <v>1100</v>
      </c>
      <c r="F7" s="7">
        <v>1.02</v>
      </c>
      <c r="G7" s="2">
        <f>E7*F7</f>
        <v>1122</v>
      </c>
      <c r="H7" s="2">
        <v>40</v>
      </c>
      <c r="I7" s="2">
        <f>G7+H7</f>
        <v>1162</v>
      </c>
      <c r="J7" s="2">
        <v>335</v>
      </c>
      <c r="K7" s="2">
        <v>220</v>
      </c>
      <c r="L7" s="2">
        <f>I7+J7+K7</f>
        <v>1717</v>
      </c>
    </row>
    <row r="8" spans="1:12" x14ac:dyDescent="0.2">
      <c r="A8" s="5" t="s">
        <v>20</v>
      </c>
      <c r="B8" s="5">
        <v>2</v>
      </c>
      <c r="C8" s="5" t="s">
        <v>13</v>
      </c>
      <c r="D8" s="5" t="s">
        <v>14</v>
      </c>
      <c r="E8" s="2">
        <v>1160</v>
      </c>
      <c r="F8" s="7">
        <v>1.02</v>
      </c>
      <c r="G8" s="2">
        <f>E8*F8</f>
        <v>1183.2</v>
      </c>
      <c r="H8" s="2">
        <v>40</v>
      </c>
      <c r="I8" s="2">
        <f>G8+H8</f>
        <v>1223.2</v>
      </c>
      <c r="J8" s="2">
        <v>205</v>
      </c>
      <c r="K8" s="2">
        <v>0</v>
      </c>
      <c r="L8" s="2">
        <f>I8+J8+K8</f>
        <v>1428.2</v>
      </c>
    </row>
    <row r="9" spans="1:12" x14ac:dyDescent="0.2">
      <c r="A9" s="5" t="s">
        <v>20</v>
      </c>
      <c r="B9" s="5">
        <v>2</v>
      </c>
      <c r="C9" s="5" t="s">
        <v>15</v>
      </c>
      <c r="D9" s="5" t="s">
        <v>14</v>
      </c>
      <c r="E9" s="2">
        <v>1160</v>
      </c>
      <c r="F9" s="7">
        <v>1.02</v>
      </c>
      <c r="G9" s="2">
        <f>E9*F9</f>
        <v>1183.2</v>
      </c>
      <c r="H9" s="2">
        <v>40</v>
      </c>
      <c r="I9" s="2">
        <f>G9+H9</f>
        <v>1223.2</v>
      </c>
      <c r="J9" s="2">
        <v>275</v>
      </c>
      <c r="K9" s="2">
        <v>0</v>
      </c>
      <c r="L9" s="2">
        <f>I9+J9+K9</f>
        <v>1498.2</v>
      </c>
    </row>
    <row r="10" spans="1:12" x14ac:dyDescent="0.2">
      <c r="A10" s="5" t="s">
        <v>20</v>
      </c>
      <c r="B10" s="5">
        <v>2</v>
      </c>
      <c r="C10" s="5" t="s">
        <v>16</v>
      </c>
      <c r="D10" s="5" t="s">
        <v>14</v>
      </c>
      <c r="E10" s="2">
        <v>1160</v>
      </c>
      <c r="F10" s="7">
        <v>1.02</v>
      </c>
      <c r="G10" s="2">
        <f>E10*F10</f>
        <v>1183.2</v>
      </c>
      <c r="H10" s="2">
        <v>40</v>
      </c>
      <c r="I10" s="2">
        <f>G10+H10</f>
        <v>1223.2</v>
      </c>
      <c r="J10" s="2">
        <v>335</v>
      </c>
      <c r="K10" s="2">
        <v>70</v>
      </c>
      <c r="L10" s="2">
        <f>I10+J10+K10</f>
        <v>1628.2</v>
      </c>
    </row>
    <row r="11" spans="1:12" x14ac:dyDescent="0.2">
      <c r="A11" s="5" t="s">
        <v>20</v>
      </c>
      <c r="B11" s="5">
        <v>2</v>
      </c>
      <c r="C11" s="5" t="s">
        <v>17</v>
      </c>
      <c r="D11" s="5" t="s">
        <v>14</v>
      </c>
      <c r="E11" s="2">
        <v>1160</v>
      </c>
      <c r="F11" s="7">
        <v>1.02</v>
      </c>
      <c r="G11" s="2">
        <f>E11*F11</f>
        <v>1183.2</v>
      </c>
      <c r="H11" s="2">
        <v>40</v>
      </c>
      <c r="I11" s="2">
        <f>G11+H11</f>
        <v>1223.2</v>
      </c>
      <c r="J11" s="2">
        <v>335</v>
      </c>
      <c r="K11" s="2">
        <v>120</v>
      </c>
      <c r="L11" s="2">
        <f>I11+J11+K11</f>
        <v>1678.2</v>
      </c>
    </row>
    <row r="12" spans="1:12" x14ac:dyDescent="0.2">
      <c r="A12" s="5" t="s">
        <v>20</v>
      </c>
      <c r="B12" s="5">
        <v>2</v>
      </c>
      <c r="C12" s="5" t="s">
        <v>18</v>
      </c>
      <c r="D12" s="5" t="s">
        <v>14</v>
      </c>
      <c r="E12" s="2">
        <v>1160</v>
      </c>
      <c r="F12" s="7">
        <v>1.02</v>
      </c>
      <c r="G12" s="2">
        <f>E12*F12</f>
        <v>1183.2</v>
      </c>
      <c r="H12" s="2">
        <v>40</v>
      </c>
      <c r="I12" s="2">
        <f>G12+H12</f>
        <v>1223.2</v>
      </c>
      <c r="J12" s="2">
        <v>335</v>
      </c>
      <c r="K12" s="2">
        <v>170</v>
      </c>
      <c r="L12" s="2">
        <f>I12+J12+K12</f>
        <v>1728.2</v>
      </c>
    </row>
    <row r="13" spans="1:12" x14ac:dyDescent="0.2">
      <c r="A13" s="5" t="s">
        <v>20</v>
      </c>
      <c r="B13" s="5">
        <v>2</v>
      </c>
      <c r="C13" s="5" t="s">
        <v>19</v>
      </c>
      <c r="D13" s="5" t="s">
        <v>14</v>
      </c>
      <c r="E13" s="2">
        <v>1160</v>
      </c>
      <c r="F13" s="7">
        <v>1.02</v>
      </c>
      <c r="G13" s="2">
        <f>E13*F13</f>
        <v>1183.2</v>
      </c>
      <c r="H13" s="2">
        <v>40</v>
      </c>
      <c r="I13" s="2">
        <f>G13+H13</f>
        <v>1223.2</v>
      </c>
      <c r="J13" s="2">
        <v>335</v>
      </c>
      <c r="K13" s="2">
        <v>220</v>
      </c>
      <c r="L13" s="2">
        <f>I13+J13+K13</f>
        <v>1778.2</v>
      </c>
    </row>
    <row r="14" spans="1:12" x14ac:dyDescent="0.2">
      <c r="A14" s="5" t="s">
        <v>21</v>
      </c>
      <c r="B14" s="5">
        <v>3</v>
      </c>
      <c r="C14" s="5" t="s">
        <v>13</v>
      </c>
      <c r="D14" s="5" t="s">
        <v>14</v>
      </c>
      <c r="E14" s="2">
        <v>1195</v>
      </c>
      <c r="F14" s="7">
        <v>1.02</v>
      </c>
      <c r="G14" s="2">
        <f>E14*F14</f>
        <v>1218.9000000000001</v>
      </c>
      <c r="H14" s="2">
        <v>40</v>
      </c>
      <c r="I14" s="2">
        <f>G14+H14</f>
        <v>1258.9000000000001</v>
      </c>
      <c r="J14" s="2">
        <v>205</v>
      </c>
      <c r="K14" s="2">
        <v>0</v>
      </c>
      <c r="L14" s="2">
        <f>I14+J14+K14</f>
        <v>1463.9</v>
      </c>
    </row>
    <row r="15" spans="1:12" x14ac:dyDescent="0.2">
      <c r="A15" s="5" t="s">
        <v>21</v>
      </c>
      <c r="B15" s="5">
        <v>3</v>
      </c>
      <c r="C15" s="5" t="s">
        <v>15</v>
      </c>
      <c r="D15" s="5" t="s">
        <v>14</v>
      </c>
      <c r="E15" s="2">
        <v>1195</v>
      </c>
      <c r="F15" s="7">
        <v>1.02</v>
      </c>
      <c r="G15" s="2">
        <f>E15*F15</f>
        <v>1218.9000000000001</v>
      </c>
      <c r="H15" s="2">
        <v>40</v>
      </c>
      <c r="I15" s="2">
        <f>G15+H15</f>
        <v>1258.9000000000001</v>
      </c>
      <c r="J15" s="2">
        <v>275</v>
      </c>
      <c r="K15" s="2">
        <v>0</v>
      </c>
      <c r="L15" s="2">
        <f>I15+J15+K15</f>
        <v>1533.9</v>
      </c>
    </row>
    <row r="16" spans="1:12" x14ac:dyDescent="0.2">
      <c r="A16" s="5" t="s">
        <v>21</v>
      </c>
      <c r="B16" s="5">
        <v>3</v>
      </c>
      <c r="C16" s="5" t="s">
        <v>16</v>
      </c>
      <c r="D16" s="5" t="s">
        <v>14</v>
      </c>
      <c r="E16" s="2">
        <v>1195</v>
      </c>
      <c r="F16" s="7">
        <v>1.02</v>
      </c>
      <c r="G16" s="2">
        <f>E16*F16</f>
        <v>1218.9000000000001</v>
      </c>
      <c r="H16" s="2">
        <v>40</v>
      </c>
      <c r="I16" s="2">
        <f>G16+H16</f>
        <v>1258.9000000000001</v>
      </c>
      <c r="J16" s="2">
        <v>335</v>
      </c>
      <c r="K16" s="2">
        <v>70</v>
      </c>
      <c r="L16" s="2">
        <f>I16+J16+K16</f>
        <v>1663.9</v>
      </c>
    </row>
    <row r="17" spans="1:12" x14ac:dyDescent="0.2">
      <c r="A17" s="5" t="s">
        <v>21</v>
      </c>
      <c r="B17" s="5">
        <v>3</v>
      </c>
      <c r="C17" s="5" t="s">
        <v>17</v>
      </c>
      <c r="D17" s="5" t="s">
        <v>14</v>
      </c>
      <c r="E17" s="2">
        <v>1195</v>
      </c>
      <c r="F17" s="7">
        <v>1.02</v>
      </c>
      <c r="G17" s="2">
        <f>E17*F17</f>
        <v>1218.9000000000001</v>
      </c>
      <c r="H17" s="2">
        <v>40</v>
      </c>
      <c r="I17" s="2">
        <f>G17+H17</f>
        <v>1258.9000000000001</v>
      </c>
      <c r="J17" s="2">
        <v>335</v>
      </c>
      <c r="K17" s="2">
        <v>120</v>
      </c>
      <c r="L17" s="2">
        <f>I17+J17+K17</f>
        <v>1713.9</v>
      </c>
    </row>
    <row r="18" spans="1:12" x14ac:dyDescent="0.2">
      <c r="A18" s="5" t="s">
        <v>21</v>
      </c>
      <c r="B18" s="5">
        <v>3</v>
      </c>
      <c r="C18" s="5" t="s">
        <v>18</v>
      </c>
      <c r="D18" s="5" t="s">
        <v>14</v>
      </c>
      <c r="E18" s="2">
        <v>1195</v>
      </c>
      <c r="F18" s="7">
        <v>1.02</v>
      </c>
      <c r="G18" s="2">
        <f>E18*F18</f>
        <v>1218.9000000000001</v>
      </c>
      <c r="H18" s="2">
        <v>40</v>
      </c>
      <c r="I18" s="2">
        <f>G18+H18</f>
        <v>1258.9000000000001</v>
      </c>
      <c r="J18" s="2">
        <v>335</v>
      </c>
      <c r="K18" s="2">
        <v>170</v>
      </c>
      <c r="L18" s="2">
        <f>I18+J18+K18</f>
        <v>1763.9</v>
      </c>
    </row>
    <row r="19" spans="1:12" x14ac:dyDescent="0.2">
      <c r="A19" s="5" t="s">
        <v>21</v>
      </c>
      <c r="B19" s="5">
        <v>3</v>
      </c>
      <c r="C19" s="5" t="s">
        <v>19</v>
      </c>
      <c r="D19" s="5" t="s">
        <v>14</v>
      </c>
      <c r="E19" s="2">
        <v>1195</v>
      </c>
      <c r="F19" s="7">
        <v>1.02</v>
      </c>
      <c r="G19" s="2">
        <f>E19*F19</f>
        <v>1218.9000000000001</v>
      </c>
      <c r="H19" s="2">
        <v>40</v>
      </c>
      <c r="I19" s="2">
        <f>G19+H19</f>
        <v>1258.9000000000001</v>
      </c>
      <c r="J19" s="2">
        <v>335</v>
      </c>
      <c r="K19" s="2">
        <v>220</v>
      </c>
      <c r="L19" s="2">
        <f>I19+J19+K19</f>
        <v>1813.9</v>
      </c>
    </row>
    <row r="20" spans="1:12" x14ac:dyDescent="0.2">
      <c r="A20" s="5" t="s">
        <v>22</v>
      </c>
      <c r="B20" s="5">
        <v>4</v>
      </c>
      <c r="C20" s="5" t="s">
        <v>13</v>
      </c>
      <c r="D20" s="5" t="s">
        <v>14</v>
      </c>
      <c r="E20" s="2">
        <v>1231</v>
      </c>
      <c r="F20" s="7">
        <v>1.02</v>
      </c>
      <c r="G20" s="2">
        <f>E20*F20</f>
        <v>1255.6200000000001</v>
      </c>
      <c r="H20" s="2">
        <v>40</v>
      </c>
      <c r="I20" s="2">
        <f>G20+H20</f>
        <v>1295.6200000000001</v>
      </c>
      <c r="J20" s="2">
        <v>205</v>
      </c>
      <c r="K20" s="2">
        <v>0</v>
      </c>
      <c r="L20" s="2">
        <f>I20+J20+K20</f>
        <v>1500.6200000000001</v>
      </c>
    </row>
    <row r="21" spans="1:12" x14ac:dyDescent="0.2">
      <c r="A21" s="5" t="s">
        <v>22</v>
      </c>
      <c r="B21" s="5">
        <v>4</v>
      </c>
      <c r="C21" s="5" t="s">
        <v>15</v>
      </c>
      <c r="D21" s="5" t="s">
        <v>14</v>
      </c>
      <c r="E21" s="2">
        <v>1231</v>
      </c>
      <c r="F21" s="7">
        <v>1.02</v>
      </c>
      <c r="G21" s="2">
        <f>E21*F21</f>
        <v>1255.6200000000001</v>
      </c>
      <c r="H21" s="2">
        <v>40</v>
      </c>
      <c r="I21" s="2">
        <f>G21+H21</f>
        <v>1295.6200000000001</v>
      </c>
      <c r="J21" s="2">
        <v>275</v>
      </c>
      <c r="K21" s="2">
        <v>0</v>
      </c>
      <c r="L21" s="2">
        <f>I21+J21+K21</f>
        <v>1570.6200000000001</v>
      </c>
    </row>
    <row r="22" spans="1:12" x14ac:dyDescent="0.2">
      <c r="A22" s="5" t="s">
        <v>22</v>
      </c>
      <c r="B22" s="5">
        <v>4</v>
      </c>
      <c r="C22" s="5" t="s">
        <v>16</v>
      </c>
      <c r="D22" s="5" t="s">
        <v>14</v>
      </c>
      <c r="E22" s="2">
        <v>1231</v>
      </c>
      <c r="F22" s="7">
        <v>1.02</v>
      </c>
      <c r="G22" s="2">
        <f>E22*F22</f>
        <v>1255.6200000000001</v>
      </c>
      <c r="H22" s="2">
        <v>40</v>
      </c>
      <c r="I22" s="2">
        <f>G22+H22</f>
        <v>1295.6200000000001</v>
      </c>
      <c r="J22" s="2">
        <v>335</v>
      </c>
      <c r="K22" s="2">
        <v>70</v>
      </c>
      <c r="L22" s="2">
        <f>I22+J22+K22</f>
        <v>1700.6200000000001</v>
      </c>
    </row>
    <row r="23" spans="1:12" x14ac:dyDescent="0.2">
      <c r="A23" s="5" t="s">
        <v>22</v>
      </c>
      <c r="B23" s="5">
        <v>4</v>
      </c>
      <c r="C23" s="5" t="s">
        <v>17</v>
      </c>
      <c r="D23" s="5" t="s">
        <v>14</v>
      </c>
      <c r="E23" s="2">
        <v>1231</v>
      </c>
      <c r="F23" s="7">
        <v>1.02</v>
      </c>
      <c r="G23" s="2">
        <f>E23*F23</f>
        <v>1255.6200000000001</v>
      </c>
      <c r="H23" s="2">
        <v>40</v>
      </c>
      <c r="I23" s="2">
        <f>G23+H23</f>
        <v>1295.6200000000001</v>
      </c>
      <c r="J23" s="2">
        <v>335</v>
      </c>
      <c r="K23" s="2">
        <v>120</v>
      </c>
      <c r="L23" s="2">
        <f>I23+J23+K23</f>
        <v>1750.6200000000001</v>
      </c>
    </row>
    <row r="24" spans="1:12" x14ac:dyDescent="0.2">
      <c r="A24" s="5" t="s">
        <v>22</v>
      </c>
      <c r="B24" s="5">
        <v>4</v>
      </c>
      <c r="C24" s="5" t="s">
        <v>18</v>
      </c>
      <c r="D24" s="5" t="s">
        <v>14</v>
      </c>
      <c r="E24" s="2">
        <v>1231</v>
      </c>
      <c r="F24" s="7">
        <v>1.02</v>
      </c>
      <c r="G24" s="2">
        <f>E24*F24</f>
        <v>1255.6200000000001</v>
      </c>
      <c r="H24" s="2">
        <v>40</v>
      </c>
      <c r="I24" s="2">
        <f>G24+H24</f>
        <v>1295.6200000000001</v>
      </c>
      <c r="J24" s="2">
        <v>335</v>
      </c>
      <c r="K24" s="2">
        <v>170</v>
      </c>
      <c r="L24" s="2">
        <f>I24+J24+K24</f>
        <v>1800.6200000000001</v>
      </c>
    </row>
    <row r="25" spans="1:12" x14ac:dyDescent="0.2">
      <c r="A25" s="5" t="s">
        <v>22</v>
      </c>
      <c r="B25" s="5">
        <v>4</v>
      </c>
      <c r="C25" s="5" t="s">
        <v>19</v>
      </c>
      <c r="D25" s="5" t="s">
        <v>14</v>
      </c>
      <c r="E25" s="2">
        <v>1231</v>
      </c>
      <c r="F25" s="7">
        <v>1.02</v>
      </c>
      <c r="G25" s="2">
        <f>E25*F25</f>
        <v>1255.6200000000001</v>
      </c>
      <c r="H25" s="2">
        <v>40</v>
      </c>
      <c r="I25" s="2">
        <f>G25+H25</f>
        <v>1295.6200000000001</v>
      </c>
      <c r="J25" s="2">
        <v>335</v>
      </c>
      <c r="K25" s="2">
        <v>220</v>
      </c>
      <c r="L25" s="2">
        <f>I25+J25+K25</f>
        <v>1850.6200000000001</v>
      </c>
    </row>
    <row r="26" spans="1:12" x14ac:dyDescent="0.2">
      <c r="A26" s="5" t="s">
        <v>23</v>
      </c>
      <c r="B26" s="5">
        <v>5</v>
      </c>
      <c r="C26" s="5" t="s">
        <v>13</v>
      </c>
      <c r="D26" s="5" t="s">
        <v>14</v>
      </c>
      <c r="E26" s="2">
        <v>1268</v>
      </c>
      <c r="F26" s="7">
        <v>1.02</v>
      </c>
      <c r="G26" s="2">
        <f>E26*F26</f>
        <v>1293.3600000000001</v>
      </c>
      <c r="H26" s="2">
        <v>40</v>
      </c>
      <c r="I26" s="2">
        <f>G26+H26</f>
        <v>1333.3600000000001</v>
      </c>
      <c r="J26" s="2">
        <v>205</v>
      </c>
      <c r="K26" s="2">
        <v>0</v>
      </c>
      <c r="L26" s="2">
        <f>I26+J26+K26</f>
        <v>1538.3600000000001</v>
      </c>
    </row>
    <row r="27" spans="1:12" x14ac:dyDescent="0.2">
      <c r="A27" s="5" t="s">
        <v>23</v>
      </c>
      <c r="B27" s="5">
        <v>5</v>
      </c>
      <c r="C27" s="5" t="s">
        <v>15</v>
      </c>
      <c r="D27" s="5" t="s">
        <v>14</v>
      </c>
      <c r="E27" s="2">
        <v>1268</v>
      </c>
      <c r="F27" s="7">
        <v>1.02</v>
      </c>
      <c r="G27" s="2">
        <f>E27*F27</f>
        <v>1293.3600000000001</v>
      </c>
      <c r="H27" s="2">
        <v>40</v>
      </c>
      <c r="I27" s="2">
        <f>G27+H27</f>
        <v>1333.3600000000001</v>
      </c>
      <c r="J27" s="2">
        <v>275</v>
      </c>
      <c r="K27" s="2">
        <v>0</v>
      </c>
      <c r="L27" s="2">
        <f>I27+J27+K27</f>
        <v>1608.3600000000001</v>
      </c>
    </row>
    <row r="28" spans="1:12" x14ac:dyDescent="0.2">
      <c r="A28" s="5" t="s">
        <v>23</v>
      </c>
      <c r="B28" s="5">
        <v>5</v>
      </c>
      <c r="C28" s="5" t="s">
        <v>16</v>
      </c>
      <c r="D28" s="5" t="s">
        <v>14</v>
      </c>
      <c r="E28" s="2">
        <v>1268</v>
      </c>
      <c r="F28" s="7">
        <v>1.02</v>
      </c>
      <c r="G28" s="2">
        <f>E28*F28</f>
        <v>1293.3600000000001</v>
      </c>
      <c r="H28" s="2">
        <v>40</v>
      </c>
      <c r="I28" s="2">
        <f>G28+H28</f>
        <v>1333.3600000000001</v>
      </c>
      <c r="J28" s="2">
        <v>335</v>
      </c>
      <c r="K28" s="2">
        <v>70</v>
      </c>
      <c r="L28" s="2">
        <f>I28+J28+K28</f>
        <v>1738.3600000000001</v>
      </c>
    </row>
    <row r="29" spans="1:12" x14ac:dyDescent="0.2">
      <c r="A29" s="5" t="s">
        <v>23</v>
      </c>
      <c r="B29" s="5">
        <v>5</v>
      </c>
      <c r="C29" s="5" t="s">
        <v>17</v>
      </c>
      <c r="D29" s="5" t="s">
        <v>14</v>
      </c>
      <c r="E29" s="2">
        <v>1268</v>
      </c>
      <c r="F29" s="7">
        <v>1.02</v>
      </c>
      <c r="G29" s="2">
        <f>E29*F29</f>
        <v>1293.3600000000001</v>
      </c>
      <c r="H29" s="2">
        <v>40</v>
      </c>
      <c r="I29" s="2">
        <f>G29+H29</f>
        <v>1333.3600000000001</v>
      </c>
      <c r="J29" s="2">
        <v>335</v>
      </c>
      <c r="K29" s="2">
        <v>120</v>
      </c>
      <c r="L29" s="2">
        <f>I29+J29+K29</f>
        <v>1788.3600000000001</v>
      </c>
    </row>
    <row r="30" spans="1:12" x14ac:dyDescent="0.2">
      <c r="A30" s="5" t="s">
        <v>23</v>
      </c>
      <c r="B30" s="5">
        <v>5</v>
      </c>
      <c r="C30" s="5" t="s">
        <v>18</v>
      </c>
      <c r="D30" s="5" t="s">
        <v>14</v>
      </c>
      <c r="E30" s="2">
        <v>1268</v>
      </c>
      <c r="F30" s="7">
        <v>1.02</v>
      </c>
      <c r="G30" s="2">
        <f>E30*F30</f>
        <v>1293.3600000000001</v>
      </c>
      <c r="H30" s="2">
        <v>40</v>
      </c>
      <c r="I30" s="2">
        <f>G30+H30</f>
        <v>1333.3600000000001</v>
      </c>
      <c r="J30" s="2">
        <v>335</v>
      </c>
      <c r="K30" s="2">
        <v>170</v>
      </c>
      <c r="L30" s="2">
        <f>I30+J30+K30</f>
        <v>1838.3600000000001</v>
      </c>
    </row>
    <row r="31" spans="1:12" x14ac:dyDescent="0.2">
      <c r="A31" s="5" t="s">
        <v>23</v>
      </c>
      <c r="B31" s="5">
        <v>5</v>
      </c>
      <c r="C31" s="5" t="s">
        <v>19</v>
      </c>
      <c r="D31" s="5" t="s">
        <v>14</v>
      </c>
      <c r="E31" s="2">
        <v>1268</v>
      </c>
      <c r="F31" s="7">
        <v>1.02</v>
      </c>
      <c r="G31" s="2">
        <f>E31*F31</f>
        <v>1293.3600000000001</v>
      </c>
      <c r="H31" s="2">
        <v>40</v>
      </c>
      <c r="I31" s="2">
        <f>G31+H31</f>
        <v>1333.3600000000001</v>
      </c>
      <c r="J31" s="2">
        <v>335</v>
      </c>
      <c r="K31" s="2">
        <v>220</v>
      </c>
      <c r="L31" s="2">
        <f>I31+J31+K31</f>
        <v>1888.3600000000001</v>
      </c>
    </row>
    <row r="32" spans="1:12" x14ac:dyDescent="0.2">
      <c r="A32" s="5" t="s">
        <v>24</v>
      </c>
      <c r="B32" s="5">
        <v>5</v>
      </c>
      <c r="C32" s="5" t="s">
        <v>13</v>
      </c>
      <c r="D32" s="5" t="s">
        <v>25</v>
      </c>
      <c r="E32" s="2">
        <v>1287</v>
      </c>
      <c r="F32" s="7">
        <v>1.04</v>
      </c>
      <c r="G32" s="2">
        <f>E32*F32</f>
        <v>1338.48</v>
      </c>
      <c r="H32" s="2">
        <v>40</v>
      </c>
      <c r="I32" s="2">
        <f>G32+H32</f>
        <v>1378.48</v>
      </c>
      <c r="J32" s="2">
        <v>155</v>
      </c>
      <c r="K32" s="2">
        <v>0</v>
      </c>
      <c r="L32" s="2">
        <f>I32+J32+K32</f>
        <v>1533.48</v>
      </c>
    </row>
    <row r="33" spans="1:12" x14ac:dyDescent="0.2">
      <c r="A33" s="5" t="s">
        <v>24</v>
      </c>
      <c r="B33" s="5">
        <v>5</v>
      </c>
      <c r="C33" s="5" t="s">
        <v>15</v>
      </c>
      <c r="D33" s="5" t="s">
        <v>25</v>
      </c>
      <c r="E33" s="2">
        <v>1287</v>
      </c>
      <c r="F33" s="7">
        <v>1.04</v>
      </c>
      <c r="G33" s="2">
        <f>E33*F33</f>
        <v>1338.48</v>
      </c>
      <c r="H33" s="2">
        <v>40</v>
      </c>
      <c r="I33" s="2">
        <f>G33+H33</f>
        <v>1378.48</v>
      </c>
      <c r="J33" s="2">
        <v>225</v>
      </c>
      <c r="K33" s="2">
        <v>0</v>
      </c>
      <c r="L33" s="2">
        <f>I33+J33+K33</f>
        <v>1603.48</v>
      </c>
    </row>
    <row r="34" spans="1:12" x14ac:dyDescent="0.2">
      <c r="A34" s="5" t="s">
        <v>24</v>
      </c>
      <c r="B34" s="5">
        <v>5</v>
      </c>
      <c r="C34" s="5" t="s">
        <v>16</v>
      </c>
      <c r="D34" s="5" t="s">
        <v>25</v>
      </c>
      <c r="E34" s="2">
        <v>1287</v>
      </c>
      <c r="F34" s="7">
        <v>1.04</v>
      </c>
      <c r="G34" s="2">
        <f>E34*F34</f>
        <v>1338.48</v>
      </c>
      <c r="H34" s="2">
        <v>40</v>
      </c>
      <c r="I34" s="2">
        <f>G34+H34</f>
        <v>1378.48</v>
      </c>
      <c r="J34" s="2">
        <v>285</v>
      </c>
      <c r="K34" s="2">
        <v>70</v>
      </c>
      <c r="L34" s="2">
        <f>I34+J34+K34</f>
        <v>1733.48</v>
      </c>
    </row>
    <row r="35" spans="1:12" x14ac:dyDescent="0.2">
      <c r="A35" s="5" t="s">
        <v>24</v>
      </c>
      <c r="B35" s="5">
        <v>5</v>
      </c>
      <c r="C35" s="5" t="s">
        <v>17</v>
      </c>
      <c r="D35" s="5" t="s">
        <v>25</v>
      </c>
      <c r="E35" s="2">
        <v>1287</v>
      </c>
      <c r="F35" s="7">
        <v>1.04</v>
      </c>
      <c r="G35" s="2">
        <f>E35*F35</f>
        <v>1338.48</v>
      </c>
      <c r="H35" s="2">
        <v>40</v>
      </c>
      <c r="I35" s="2">
        <f>G35+H35</f>
        <v>1378.48</v>
      </c>
      <c r="J35" s="2">
        <v>285</v>
      </c>
      <c r="K35" s="2">
        <v>120</v>
      </c>
      <c r="L35" s="2">
        <f>I35+J35+K35</f>
        <v>1783.48</v>
      </c>
    </row>
    <row r="36" spans="1:12" x14ac:dyDescent="0.2">
      <c r="A36" s="5" t="s">
        <v>24</v>
      </c>
      <c r="B36" s="5">
        <v>5</v>
      </c>
      <c r="C36" s="5" t="s">
        <v>18</v>
      </c>
      <c r="D36" s="5" t="s">
        <v>25</v>
      </c>
      <c r="E36" s="2">
        <v>1287</v>
      </c>
      <c r="F36" s="7">
        <v>1.04</v>
      </c>
      <c r="G36" s="2">
        <f>E36*F36</f>
        <v>1338.48</v>
      </c>
      <c r="H36" s="2">
        <v>40</v>
      </c>
      <c r="I36" s="2">
        <f>G36+H36</f>
        <v>1378.48</v>
      </c>
      <c r="J36" s="2">
        <v>285</v>
      </c>
      <c r="K36" s="2">
        <v>170</v>
      </c>
      <c r="L36" s="2">
        <f>I36+J36+K36</f>
        <v>1833.48</v>
      </c>
    </row>
    <row r="37" spans="1:12" x14ac:dyDescent="0.2">
      <c r="A37" s="5" t="s">
        <v>24</v>
      </c>
      <c r="B37" s="5">
        <v>5</v>
      </c>
      <c r="C37" s="5" t="s">
        <v>19</v>
      </c>
      <c r="D37" s="5" t="s">
        <v>25</v>
      </c>
      <c r="E37" s="2">
        <v>1287</v>
      </c>
      <c r="F37" s="7">
        <v>1.04</v>
      </c>
      <c r="G37" s="2">
        <f>E37*F37</f>
        <v>1338.48</v>
      </c>
      <c r="H37" s="2">
        <v>40</v>
      </c>
      <c r="I37" s="2">
        <f>G37+H37</f>
        <v>1378.48</v>
      </c>
      <c r="J37" s="2">
        <v>285</v>
      </c>
      <c r="K37" s="2">
        <v>220</v>
      </c>
      <c r="L37" s="2">
        <f>I37+J37+K37</f>
        <v>1883.48</v>
      </c>
    </row>
    <row r="38" spans="1:12" x14ac:dyDescent="0.2">
      <c r="A38" s="5" t="s">
        <v>26</v>
      </c>
      <c r="B38" s="5">
        <v>6</v>
      </c>
      <c r="C38" s="5" t="s">
        <v>13</v>
      </c>
      <c r="D38" s="5" t="s">
        <v>25</v>
      </c>
      <c r="E38" s="2">
        <v>1332</v>
      </c>
      <c r="F38" s="7">
        <v>1.04</v>
      </c>
      <c r="G38" s="2">
        <f>E38*F38</f>
        <v>1385.28</v>
      </c>
      <c r="H38" s="2">
        <v>40</v>
      </c>
      <c r="I38" s="2">
        <f>G38+H38</f>
        <v>1425.28</v>
      </c>
      <c r="J38" s="2">
        <v>155</v>
      </c>
      <c r="K38" s="2">
        <v>0</v>
      </c>
      <c r="L38" s="2">
        <f>I38+J38+K38</f>
        <v>1580.28</v>
      </c>
    </row>
    <row r="39" spans="1:12" x14ac:dyDescent="0.2">
      <c r="A39" s="5" t="s">
        <v>26</v>
      </c>
      <c r="B39" s="5">
        <v>6</v>
      </c>
      <c r="C39" s="5" t="s">
        <v>15</v>
      </c>
      <c r="D39" s="5" t="s">
        <v>25</v>
      </c>
      <c r="E39" s="2">
        <v>1332</v>
      </c>
      <c r="F39" s="7">
        <v>1.04</v>
      </c>
      <c r="G39" s="2">
        <f>E39*F39</f>
        <v>1385.28</v>
      </c>
      <c r="H39" s="2">
        <v>40</v>
      </c>
      <c r="I39" s="2">
        <f>G39+H39</f>
        <v>1425.28</v>
      </c>
      <c r="J39" s="2">
        <v>225</v>
      </c>
      <c r="K39" s="2">
        <v>0</v>
      </c>
      <c r="L39" s="2">
        <f>I39+J39+K39</f>
        <v>1650.28</v>
      </c>
    </row>
    <row r="40" spans="1:12" x14ac:dyDescent="0.2">
      <c r="A40" s="5" t="s">
        <v>26</v>
      </c>
      <c r="B40" s="5">
        <v>6</v>
      </c>
      <c r="C40" s="5" t="s">
        <v>16</v>
      </c>
      <c r="D40" s="5" t="s">
        <v>25</v>
      </c>
      <c r="E40" s="2">
        <v>1332</v>
      </c>
      <c r="F40" s="7">
        <v>1.04</v>
      </c>
      <c r="G40" s="2">
        <f>E40*F40</f>
        <v>1385.28</v>
      </c>
      <c r="H40" s="2">
        <v>40</v>
      </c>
      <c r="I40" s="2">
        <f>G40+H40</f>
        <v>1425.28</v>
      </c>
      <c r="J40" s="2">
        <v>285</v>
      </c>
      <c r="K40" s="2">
        <v>70</v>
      </c>
      <c r="L40" s="2">
        <f>I40+J40+K40</f>
        <v>1780.28</v>
      </c>
    </row>
    <row r="41" spans="1:12" x14ac:dyDescent="0.2">
      <c r="A41" s="5" t="s">
        <v>26</v>
      </c>
      <c r="B41" s="5">
        <v>6</v>
      </c>
      <c r="C41" s="5" t="s">
        <v>17</v>
      </c>
      <c r="D41" s="5" t="s">
        <v>25</v>
      </c>
      <c r="E41" s="2">
        <v>1332</v>
      </c>
      <c r="F41" s="7">
        <v>1.04</v>
      </c>
      <c r="G41" s="2">
        <f>E41*F41</f>
        <v>1385.28</v>
      </c>
      <c r="H41" s="2">
        <v>40</v>
      </c>
      <c r="I41" s="2">
        <f>G41+H41</f>
        <v>1425.28</v>
      </c>
      <c r="J41" s="2">
        <v>285</v>
      </c>
      <c r="K41" s="2">
        <v>120</v>
      </c>
      <c r="L41" s="2">
        <f>I41+J41+K41</f>
        <v>1830.28</v>
      </c>
    </row>
    <row r="42" spans="1:12" x14ac:dyDescent="0.2">
      <c r="A42" s="5" t="s">
        <v>26</v>
      </c>
      <c r="B42" s="5">
        <v>6</v>
      </c>
      <c r="C42" s="5" t="s">
        <v>18</v>
      </c>
      <c r="D42" s="5" t="s">
        <v>25</v>
      </c>
      <c r="E42" s="2">
        <v>1332</v>
      </c>
      <c r="F42" s="7">
        <v>1.04</v>
      </c>
      <c r="G42" s="2">
        <f>E42*F42</f>
        <v>1385.28</v>
      </c>
      <c r="H42" s="2">
        <v>40</v>
      </c>
      <c r="I42" s="2">
        <f>G42+H42</f>
        <v>1425.28</v>
      </c>
      <c r="J42" s="2">
        <v>285</v>
      </c>
      <c r="K42" s="2">
        <v>170</v>
      </c>
      <c r="L42" s="2">
        <f>I42+J42+K42</f>
        <v>1880.28</v>
      </c>
    </row>
    <row r="43" spans="1:12" x14ac:dyDescent="0.2">
      <c r="A43" s="5" t="s">
        <v>26</v>
      </c>
      <c r="B43" s="5">
        <v>6</v>
      </c>
      <c r="C43" s="5" t="s">
        <v>19</v>
      </c>
      <c r="D43" s="5" t="s">
        <v>25</v>
      </c>
      <c r="E43" s="2">
        <v>1332</v>
      </c>
      <c r="F43" s="7">
        <v>1.04</v>
      </c>
      <c r="G43" s="2">
        <f>E43*F43</f>
        <v>1385.28</v>
      </c>
      <c r="H43" s="2">
        <v>40</v>
      </c>
      <c r="I43" s="2">
        <f>G43+H43</f>
        <v>1425.28</v>
      </c>
      <c r="J43" s="2">
        <v>285</v>
      </c>
      <c r="K43" s="2">
        <v>220</v>
      </c>
      <c r="L43" s="2">
        <f>I43+J43+K43</f>
        <v>1930.28</v>
      </c>
    </row>
    <row r="44" spans="1:12" x14ac:dyDescent="0.2">
      <c r="A44" s="5" t="s">
        <v>27</v>
      </c>
      <c r="B44" s="5">
        <v>7</v>
      </c>
      <c r="C44" s="5" t="s">
        <v>13</v>
      </c>
      <c r="D44" s="5" t="s">
        <v>25</v>
      </c>
      <c r="E44" s="2">
        <v>1380</v>
      </c>
      <c r="F44" s="7">
        <v>1.04</v>
      </c>
      <c r="G44" s="2">
        <f>E44*F44</f>
        <v>1435.2</v>
      </c>
      <c r="H44" s="2">
        <v>40</v>
      </c>
      <c r="I44" s="2">
        <f>G44+H44</f>
        <v>1475.2</v>
      </c>
      <c r="J44" s="2">
        <v>155</v>
      </c>
      <c r="K44" s="2">
        <v>0</v>
      </c>
      <c r="L44" s="2">
        <f>I44+J44+K44</f>
        <v>1630.2</v>
      </c>
    </row>
    <row r="45" spans="1:12" x14ac:dyDescent="0.2">
      <c r="A45" s="5" t="s">
        <v>27</v>
      </c>
      <c r="B45" s="5">
        <v>7</v>
      </c>
      <c r="C45" s="5" t="s">
        <v>15</v>
      </c>
      <c r="D45" s="5" t="s">
        <v>25</v>
      </c>
      <c r="E45" s="2">
        <v>1380</v>
      </c>
      <c r="F45" s="7">
        <v>1.04</v>
      </c>
      <c r="G45" s="2">
        <f>E45*F45</f>
        <v>1435.2</v>
      </c>
      <c r="H45" s="2">
        <v>40</v>
      </c>
      <c r="I45" s="2">
        <f>G45+H45</f>
        <v>1475.2</v>
      </c>
      <c r="J45" s="2">
        <v>225</v>
      </c>
      <c r="K45" s="2">
        <v>0</v>
      </c>
      <c r="L45" s="2">
        <f>I45+J45+K45</f>
        <v>1700.2</v>
      </c>
    </row>
    <row r="46" spans="1:12" x14ac:dyDescent="0.2">
      <c r="A46" s="5" t="s">
        <v>27</v>
      </c>
      <c r="B46" s="5">
        <v>7</v>
      </c>
      <c r="C46" s="5" t="s">
        <v>16</v>
      </c>
      <c r="D46" s="5" t="s">
        <v>25</v>
      </c>
      <c r="E46" s="2">
        <v>1380</v>
      </c>
      <c r="F46" s="7">
        <v>1.04</v>
      </c>
      <c r="G46" s="2">
        <f>E46*F46</f>
        <v>1435.2</v>
      </c>
      <c r="H46" s="2">
        <v>40</v>
      </c>
      <c r="I46" s="2">
        <f>G46+H46</f>
        <v>1475.2</v>
      </c>
      <c r="J46" s="2">
        <v>285</v>
      </c>
      <c r="K46" s="2">
        <v>70</v>
      </c>
      <c r="L46" s="2">
        <f>I46+J46+K46</f>
        <v>1830.2</v>
      </c>
    </row>
    <row r="47" spans="1:12" x14ac:dyDescent="0.2">
      <c r="A47" s="5" t="s">
        <v>27</v>
      </c>
      <c r="B47" s="5">
        <v>7</v>
      </c>
      <c r="C47" s="5" t="s">
        <v>17</v>
      </c>
      <c r="D47" s="5" t="s">
        <v>25</v>
      </c>
      <c r="E47" s="2">
        <v>1380</v>
      </c>
      <c r="F47" s="7">
        <v>1.04</v>
      </c>
      <c r="G47" s="2">
        <f>E47*F47</f>
        <v>1435.2</v>
      </c>
      <c r="H47" s="2">
        <v>40</v>
      </c>
      <c r="I47" s="2">
        <f>G47+H47</f>
        <v>1475.2</v>
      </c>
      <c r="J47" s="2">
        <v>285</v>
      </c>
      <c r="K47" s="2">
        <v>120</v>
      </c>
      <c r="L47" s="2">
        <f>I47+J47+K47</f>
        <v>1880.2</v>
      </c>
    </row>
    <row r="48" spans="1:12" x14ac:dyDescent="0.2">
      <c r="A48" s="5" t="s">
        <v>27</v>
      </c>
      <c r="B48" s="5">
        <v>7</v>
      </c>
      <c r="C48" s="5" t="s">
        <v>18</v>
      </c>
      <c r="D48" s="5" t="s">
        <v>25</v>
      </c>
      <c r="E48" s="2">
        <v>1380</v>
      </c>
      <c r="F48" s="7">
        <v>1.04</v>
      </c>
      <c r="G48" s="2">
        <f>E48*F48</f>
        <v>1435.2</v>
      </c>
      <c r="H48" s="2">
        <v>40</v>
      </c>
      <c r="I48" s="2">
        <f>G48+H48</f>
        <v>1475.2</v>
      </c>
      <c r="J48" s="2">
        <v>285</v>
      </c>
      <c r="K48" s="2">
        <v>170</v>
      </c>
      <c r="L48" s="2">
        <f>I48+J48+K48</f>
        <v>1930.2</v>
      </c>
    </row>
    <row r="49" spans="1:12" x14ac:dyDescent="0.2">
      <c r="A49" s="5" t="s">
        <v>27</v>
      </c>
      <c r="B49" s="5">
        <v>7</v>
      </c>
      <c r="C49" s="5" t="s">
        <v>19</v>
      </c>
      <c r="D49" s="5" t="s">
        <v>25</v>
      </c>
      <c r="E49" s="2">
        <v>1380</v>
      </c>
      <c r="F49" s="7">
        <v>1.04</v>
      </c>
      <c r="G49" s="2">
        <f>E49*F49</f>
        <v>1435.2</v>
      </c>
      <c r="H49" s="2">
        <v>40</v>
      </c>
      <c r="I49" s="2">
        <f>G49+H49</f>
        <v>1475.2</v>
      </c>
      <c r="J49" s="2">
        <v>285</v>
      </c>
      <c r="K49" s="2">
        <v>220</v>
      </c>
      <c r="L49" s="2">
        <f>I49+J49+K49</f>
        <v>1980.2</v>
      </c>
    </row>
    <row r="50" spans="1:12" x14ac:dyDescent="0.2">
      <c r="A50" s="5" t="s">
        <v>28</v>
      </c>
      <c r="B50" s="5">
        <v>8</v>
      </c>
      <c r="C50" s="5" t="s">
        <v>13</v>
      </c>
      <c r="D50" s="5" t="s">
        <v>25</v>
      </c>
      <c r="E50" s="2">
        <v>1449</v>
      </c>
      <c r="F50" s="7">
        <v>1.04</v>
      </c>
      <c r="G50" s="2">
        <f>E50*F50</f>
        <v>1506.96</v>
      </c>
      <c r="H50" s="2">
        <v>40</v>
      </c>
      <c r="I50" s="2">
        <f>G50+H50</f>
        <v>1546.96</v>
      </c>
      <c r="J50" s="2">
        <v>155</v>
      </c>
      <c r="K50" s="2">
        <v>0</v>
      </c>
      <c r="L50" s="2">
        <f>I50+J50+K50</f>
        <v>1701.96</v>
      </c>
    </row>
    <row r="51" spans="1:12" x14ac:dyDescent="0.2">
      <c r="A51" s="5" t="s">
        <v>28</v>
      </c>
      <c r="B51" s="5">
        <v>8</v>
      </c>
      <c r="C51" s="5" t="s">
        <v>15</v>
      </c>
      <c r="D51" s="5" t="s">
        <v>25</v>
      </c>
      <c r="E51" s="2">
        <v>1449</v>
      </c>
      <c r="F51" s="7">
        <v>1.04</v>
      </c>
      <c r="G51" s="2">
        <f>E51*F51</f>
        <v>1506.96</v>
      </c>
      <c r="H51" s="2">
        <v>40</v>
      </c>
      <c r="I51" s="2">
        <f>G51+H51</f>
        <v>1546.96</v>
      </c>
      <c r="J51" s="2">
        <v>225</v>
      </c>
      <c r="K51" s="2">
        <v>0</v>
      </c>
      <c r="L51" s="2">
        <f>I51+J51+K51</f>
        <v>1771.96</v>
      </c>
    </row>
    <row r="52" spans="1:12" x14ac:dyDescent="0.2">
      <c r="A52" s="5" t="s">
        <v>28</v>
      </c>
      <c r="B52" s="5">
        <v>8</v>
      </c>
      <c r="C52" s="5" t="s">
        <v>16</v>
      </c>
      <c r="D52" s="5" t="s">
        <v>25</v>
      </c>
      <c r="E52" s="2">
        <v>1449</v>
      </c>
      <c r="F52" s="7">
        <v>1.04</v>
      </c>
      <c r="G52" s="2">
        <f>E52*F52</f>
        <v>1506.96</v>
      </c>
      <c r="H52" s="2">
        <v>40</v>
      </c>
      <c r="I52" s="2">
        <f>G52+H52</f>
        <v>1546.96</v>
      </c>
      <c r="J52" s="2">
        <v>285</v>
      </c>
      <c r="K52" s="2">
        <v>70</v>
      </c>
      <c r="L52" s="2">
        <f>I52+J52+K52</f>
        <v>1901.96</v>
      </c>
    </row>
    <row r="53" spans="1:12" x14ac:dyDescent="0.2">
      <c r="A53" s="5" t="s">
        <v>28</v>
      </c>
      <c r="B53" s="5">
        <v>8</v>
      </c>
      <c r="C53" s="5" t="s">
        <v>17</v>
      </c>
      <c r="D53" s="5" t="s">
        <v>25</v>
      </c>
      <c r="E53" s="2">
        <v>1449</v>
      </c>
      <c r="F53" s="7">
        <v>1.04</v>
      </c>
      <c r="G53" s="2">
        <f>E53*F53</f>
        <v>1506.96</v>
      </c>
      <c r="H53" s="2">
        <v>40</v>
      </c>
      <c r="I53" s="2">
        <f>G53+H53</f>
        <v>1546.96</v>
      </c>
      <c r="J53" s="2">
        <v>285</v>
      </c>
      <c r="K53" s="2">
        <v>120</v>
      </c>
      <c r="L53" s="2">
        <f>I53+J53+K53</f>
        <v>1951.96</v>
      </c>
    </row>
    <row r="54" spans="1:12" x14ac:dyDescent="0.2">
      <c r="A54" s="5" t="s">
        <v>28</v>
      </c>
      <c r="B54" s="5">
        <v>8</v>
      </c>
      <c r="C54" s="5" t="s">
        <v>18</v>
      </c>
      <c r="D54" s="5" t="s">
        <v>25</v>
      </c>
      <c r="E54" s="2">
        <v>1449</v>
      </c>
      <c r="F54" s="7">
        <v>1.04</v>
      </c>
      <c r="G54" s="2">
        <f>E54*F54</f>
        <v>1506.96</v>
      </c>
      <c r="H54" s="2">
        <v>40</v>
      </c>
      <c r="I54" s="2">
        <f>G54+H54</f>
        <v>1546.96</v>
      </c>
      <c r="J54" s="2">
        <v>285</v>
      </c>
      <c r="K54" s="2">
        <v>170</v>
      </c>
      <c r="L54" s="2">
        <f>I54+J54+K54</f>
        <v>2001.96</v>
      </c>
    </row>
    <row r="55" spans="1:12" x14ac:dyDescent="0.2">
      <c r="A55" s="5" t="s">
        <v>28</v>
      </c>
      <c r="B55" s="5">
        <v>8</v>
      </c>
      <c r="C55" s="5" t="s">
        <v>19</v>
      </c>
      <c r="D55" s="5" t="s">
        <v>25</v>
      </c>
      <c r="E55" s="2">
        <v>1449</v>
      </c>
      <c r="F55" s="7">
        <v>1.04</v>
      </c>
      <c r="G55" s="2">
        <f>E55*F55</f>
        <v>1506.96</v>
      </c>
      <c r="H55" s="2">
        <v>40</v>
      </c>
      <c r="I55" s="2">
        <f>G55+H55</f>
        <v>1546.96</v>
      </c>
      <c r="J55" s="2">
        <v>285</v>
      </c>
      <c r="K55" s="2">
        <v>220</v>
      </c>
      <c r="L55" s="2">
        <f>I55+J55+K55</f>
        <v>2051.96</v>
      </c>
    </row>
    <row r="56" spans="1:12" x14ac:dyDescent="0.2">
      <c r="A56" s="5" t="s">
        <v>29</v>
      </c>
      <c r="B56" s="5">
        <v>9</v>
      </c>
      <c r="C56" s="5" t="s">
        <v>13</v>
      </c>
      <c r="D56" s="5" t="s">
        <v>25</v>
      </c>
      <c r="E56" s="2">
        <v>1521</v>
      </c>
      <c r="F56" s="7">
        <v>1.04</v>
      </c>
      <c r="G56" s="2">
        <f>E56*F56</f>
        <v>1581.8400000000001</v>
      </c>
      <c r="H56" s="2">
        <v>40</v>
      </c>
      <c r="I56" s="2">
        <f>G56+H56</f>
        <v>1621.8400000000001</v>
      </c>
      <c r="J56" s="2">
        <v>155</v>
      </c>
      <c r="K56" s="2">
        <v>0</v>
      </c>
      <c r="L56" s="2">
        <f>I56+J56+K56</f>
        <v>1776.8400000000001</v>
      </c>
    </row>
    <row r="57" spans="1:12" x14ac:dyDescent="0.2">
      <c r="A57" s="5" t="s">
        <v>29</v>
      </c>
      <c r="B57" s="5">
        <v>9</v>
      </c>
      <c r="C57" s="5" t="s">
        <v>15</v>
      </c>
      <c r="D57" s="5" t="s">
        <v>25</v>
      </c>
      <c r="E57" s="2">
        <v>1521</v>
      </c>
      <c r="F57" s="7">
        <v>1.04</v>
      </c>
      <c r="G57" s="2">
        <f>E57*F57</f>
        <v>1581.8400000000001</v>
      </c>
      <c r="H57" s="2">
        <v>40</v>
      </c>
      <c r="I57" s="2">
        <f>G57+H57</f>
        <v>1621.8400000000001</v>
      </c>
      <c r="J57" s="2">
        <v>225</v>
      </c>
      <c r="K57" s="2">
        <v>0</v>
      </c>
      <c r="L57" s="2">
        <f>I57+J57+K57</f>
        <v>1846.8400000000001</v>
      </c>
    </row>
    <row r="58" spans="1:12" x14ac:dyDescent="0.2">
      <c r="A58" s="5" t="s">
        <v>29</v>
      </c>
      <c r="B58" s="5">
        <v>9</v>
      </c>
      <c r="C58" s="5" t="s">
        <v>16</v>
      </c>
      <c r="D58" s="5" t="s">
        <v>25</v>
      </c>
      <c r="E58" s="2">
        <v>1521</v>
      </c>
      <c r="F58" s="7">
        <v>1.04</v>
      </c>
      <c r="G58" s="2">
        <f>E58*F58</f>
        <v>1581.8400000000001</v>
      </c>
      <c r="H58" s="2">
        <v>40</v>
      </c>
      <c r="I58" s="2">
        <f>G58+H58</f>
        <v>1621.8400000000001</v>
      </c>
      <c r="J58" s="2">
        <v>285</v>
      </c>
      <c r="K58" s="2">
        <v>70</v>
      </c>
      <c r="L58" s="2">
        <f>I58+J58+K58</f>
        <v>1976.8400000000001</v>
      </c>
    </row>
    <row r="59" spans="1:12" x14ac:dyDescent="0.2">
      <c r="A59" s="5" t="s">
        <v>29</v>
      </c>
      <c r="B59" s="5">
        <v>9</v>
      </c>
      <c r="C59" s="5" t="s">
        <v>17</v>
      </c>
      <c r="D59" s="5" t="s">
        <v>25</v>
      </c>
      <c r="E59" s="2">
        <v>1521</v>
      </c>
      <c r="F59" s="7">
        <v>1.04</v>
      </c>
      <c r="G59" s="2">
        <f>E59*F59</f>
        <v>1581.8400000000001</v>
      </c>
      <c r="H59" s="2">
        <v>40</v>
      </c>
      <c r="I59" s="2">
        <f>G59+H59</f>
        <v>1621.8400000000001</v>
      </c>
      <c r="J59" s="2">
        <v>285</v>
      </c>
      <c r="K59" s="2">
        <v>120</v>
      </c>
      <c r="L59" s="2">
        <f>I59+J59+K59</f>
        <v>2026.8400000000001</v>
      </c>
    </row>
    <row r="60" spans="1:12" x14ac:dyDescent="0.2">
      <c r="A60" s="5" t="s">
        <v>29</v>
      </c>
      <c r="B60" s="5">
        <v>9</v>
      </c>
      <c r="C60" s="5" t="s">
        <v>18</v>
      </c>
      <c r="D60" s="5" t="s">
        <v>25</v>
      </c>
      <c r="E60" s="2">
        <v>1521</v>
      </c>
      <c r="F60" s="7">
        <v>1.04</v>
      </c>
      <c r="G60" s="2">
        <f>E60*F60</f>
        <v>1581.8400000000001</v>
      </c>
      <c r="H60" s="2">
        <v>40</v>
      </c>
      <c r="I60" s="2">
        <f>G60+H60</f>
        <v>1621.8400000000001</v>
      </c>
      <c r="J60" s="2">
        <v>285</v>
      </c>
      <c r="K60" s="2">
        <v>170</v>
      </c>
      <c r="L60" s="2">
        <f>I60+J60+K60</f>
        <v>2076.84</v>
      </c>
    </row>
    <row r="61" spans="1:12" x14ac:dyDescent="0.2">
      <c r="A61" s="5" t="s">
        <v>29</v>
      </c>
      <c r="B61" s="5">
        <v>9</v>
      </c>
      <c r="C61" s="5" t="s">
        <v>19</v>
      </c>
      <c r="D61" s="5" t="s">
        <v>25</v>
      </c>
      <c r="E61" s="2">
        <v>1521</v>
      </c>
      <c r="F61" s="7">
        <v>1.04</v>
      </c>
      <c r="G61" s="2">
        <f>E61*F61</f>
        <v>1581.8400000000001</v>
      </c>
      <c r="H61" s="2">
        <v>40</v>
      </c>
      <c r="I61" s="2">
        <f>G61+H61</f>
        <v>1621.8400000000001</v>
      </c>
      <c r="J61" s="2">
        <v>285</v>
      </c>
      <c r="K61" s="2">
        <v>220</v>
      </c>
      <c r="L61" s="2">
        <f>I61+J61+K61</f>
        <v>2126.84</v>
      </c>
    </row>
    <row r="62" spans="1:12" x14ac:dyDescent="0.2">
      <c r="A62" s="5" t="s">
        <v>30</v>
      </c>
      <c r="B62" s="5">
        <v>10</v>
      </c>
      <c r="C62" s="5" t="s">
        <v>13</v>
      </c>
      <c r="D62" s="5" t="s">
        <v>25</v>
      </c>
      <c r="E62" s="2">
        <v>1600</v>
      </c>
      <c r="F62" s="7">
        <v>1.04</v>
      </c>
      <c r="G62" s="2">
        <f>E62*F62</f>
        <v>1664</v>
      </c>
      <c r="H62" s="2">
        <v>40</v>
      </c>
      <c r="I62" s="2">
        <f>G62+H62</f>
        <v>1704</v>
      </c>
      <c r="J62" s="2">
        <v>155</v>
      </c>
      <c r="K62" s="2">
        <v>0</v>
      </c>
      <c r="L62" s="2">
        <f>I62+J62+K62</f>
        <v>1859</v>
      </c>
    </row>
    <row r="63" spans="1:12" x14ac:dyDescent="0.2">
      <c r="A63" s="5" t="s">
        <v>30</v>
      </c>
      <c r="B63" s="5">
        <v>10</v>
      </c>
      <c r="C63" s="5" t="s">
        <v>15</v>
      </c>
      <c r="D63" s="5" t="s">
        <v>25</v>
      </c>
      <c r="E63" s="2">
        <v>1600</v>
      </c>
      <c r="F63" s="7">
        <v>1.04</v>
      </c>
      <c r="G63" s="2">
        <f>E63*F63</f>
        <v>1664</v>
      </c>
      <c r="H63" s="2">
        <v>40</v>
      </c>
      <c r="I63" s="2">
        <f>G63+H63</f>
        <v>1704</v>
      </c>
      <c r="J63" s="2">
        <v>225</v>
      </c>
      <c r="K63" s="2">
        <v>0</v>
      </c>
      <c r="L63" s="2">
        <f>I63+J63+K63</f>
        <v>1929</v>
      </c>
    </row>
    <row r="64" spans="1:12" x14ac:dyDescent="0.2">
      <c r="A64" s="5" t="s">
        <v>30</v>
      </c>
      <c r="B64" s="5">
        <v>10</v>
      </c>
      <c r="C64" s="5" t="s">
        <v>16</v>
      </c>
      <c r="D64" s="5" t="s">
        <v>25</v>
      </c>
      <c r="E64" s="2">
        <v>1600</v>
      </c>
      <c r="F64" s="7">
        <v>1.04</v>
      </c>
      <c r="G64" s="2">
        <f>E64*F64</f>
        <v>1664</v>
      </c>
      <c r="H64" s="2">
        <v>40</v>
      </c>
      <c r="I64" s="2">
        <f>G64+H64</f>
        <v>1704</v>
      </c>
      <c r="J64" s="2">
        <v>285</v>
      </c>
      <c r="K64" s="2">
        <v>70</v>
      </c>
      <c r="L64" s="2">
        <f>I64+J64+K64</f>
        <v>2059</v>
      </c>
    </row>
    <row r="65" spans="1:12" x14ac:dyDescent="0.2">
      <c r="A65" s="5" t="s">
        <v>30</v>
      </c>
      <c r="B65" s="5">
        <v>10</v>
      </c>
      <c r="C65" s="5" t="s">
        <v>17</v>
      </c>
      <c r="D65" s="5" t="s">
        <v>25</v>
      </c>
      <c r="E65" s="2">
        <v>1600</v>
      </c>
      <c r="F65" s="7">
        <v>1.04</v>
      </c>
      <c r="G65" s="2">
        <f>E65*F65</f>
        <v>1664</v>
      </c>
      <c r="H65" s="2">
        <v>40</v>
      </c>
      <c r="I65" s="2">
        <f>G65+H65</f>
        <v>1704</v>
      </c>
      <c r="J65" s="2">
        <v>285</v>
      </c>
      <c r="K65" s="2">
        <v>120</v>
      </c>
      <c r="L65" s="2">
        <f>I65+J65+K65</f>
        <v>2109</v>
      </c>
    </row>
    <row r="66" spans="1:12" x14ac:dyDescent="0.2">
      <c r="A66" s="5" t="s">
        <v>30</v>
      </c>
      <c r="B66" s="5">
        <v>10</v>
      </c>
      <c r="C66" s="5" t="s">
        <v>18</v>
      </c>
      <c r="D66" s="5" t="s">
        <v>25</v>
      </c>
      <c r="E66" s="2">
        <v>1600</v>
      </c>
      <c r="F66" s="7">
        <v>1.04</v>
      </c>
      <c r="G66" s="2">
        <f>E66*F66</f>
        <v>1664</v>
      </c>
      <c r="H66" s="2">
        <v>40</v>
      </c>
      <c r="I66" s="2">
        <f>G66+H66</f>
        <v>1704</v>
      </c>
      <c r="J66" s="2">
        <v>285</v>
      </c>
      <c r="K66" s="2">
        <v>170</v>
      </c>
      <c r="L66" s="2">
        <f>I66+J66+K66</f>
        <v>2159</v>
      </c>
    </row>
    <row r="67" spans="1:12" x14ac:dyDescent="0.2">
      <c r="A67" s="5" t="s">
        <v>30</v>
      </c>
      <c r="B67" s="5">
        <v>10</v>
      </c>
      <c r="C67" s="5" t="s">
        <v>19</v>
      </c>
      <c r="D67" s="5" t="s">
        <v>25</v>
      </c>
      <c r="E67" s="2">
        <v>1600</v>
      </c>
      <c r="F67" s="7">
        <v>1.04</v>
      </c>
      <c r="G67" s="2">
        <f>E67*F67</f>
        <v>1664</v>
      </c>
      <c r="H67" s="2">
        <v>40</v>
      </c>
      <c r="I67" s="2">
        <f>G67+H67</f>
        <v>1704</v>
      </c>
      <c r="J67" s="2">
        <v>285</v>
      </c>
      <c r="K67" s="2">
        <v>220</v>
      </c>
      <c r="L67" s="2">
        <f>I67+J67+K67</f>
        <v>2209</v>
      </c>
    </row>
    <row r="68" spans="1:12" x14ac:dyDescent="0.2">
      <c r="A68" s="5" t="s">
        <v>31</v>
      </c>
      <c r="B68" s="5">
        <v>10</v>
      </c>
      <c r="C68" s="5" t="s">
        <v>13</v>
      </c>
      <c r="D68" s="5" t="s">
        <v>25</v>
      </c>
      <c r="E68" s="2">
        <v>1600</v>
      </c>
      <c r="F68" s="7">
        <v>1.04</v>
      </c>
      <c r="G68" s="2">
        <f>E68*F68</f>
        <v>1664</v>
      </c>
      <c r="H68" s="2">
        <v>40</v>
      </c>
      <c r="I68" s="2">
        <f>G68+H68</f>
        <v>1704</v>
      </c>
      <c r="J68" s="2">
        <v>180</v>
      </c>
      <c r="K68" s="2">
        <v>0</v>
      </c>
      <c r="L68" s="2">
        <f>I68+J68+K68</f>
        <v>1884</v>
      </c>
    </row>
    <row r="69" spans="1:12" x14ac:dyDescent="0.2">
      <c r="A69" s="5" t="s">
        <v>31</v>
      </c>
      <c r="B69" s="5">
        <v>10</v>
      </c>
      <c r="C69" s="5" t="s">
        <v>15</v>
      </c>
      <c r="D69" s="5" t="s">
        <v>25</v>
      </c>
      <c r="E69" s="2">
        <v>1600</v>
      </c>
      <c r="F69" s="7">
        <v>1.04</v>
      </c>
      <c r="G69" s="2">
        <f>E69*F69</f>
        <v>1664</v>
      </c>
      <c r="H69" s="2">
        <v>40</v>
      </c>
      <c r="I69" s="2">
        <f>G69+H69</f>
        <v>1704</v>
      </c>
      <c r="J69" s="2">
        <v>250</v>
      </c>
      <c r="K69" s="2">
        <v>0</v>
      </c>
      <c r="L69" s="2">
        <f>I69+J69+K69</f>
        <v>1954</v>
      </c>
    </row>
    <row r="70" spans="1:12" x14ac:dyDescent="0.2">
      <c r="A70" s="5" t="s">
        <v>31</v>
      </c>
      <c r="B70" s="5">
        <v>10</v>
      </c>
      <c r="C70" s="5" t="s">
        <v>16</v>
      </c>
      <c r="D70" s="5" t="s">
        <v>25</v>
      </c>
      <c r="E70" s="2">
        <v>1600</v>
      </c>
      <c r="F70" s="7">
        <v>1.04</v>
      </c>
      <c r="G70" s="2">
        <f>E70*F70</f>
        <v>1664</v>
      </c>
      <c r="H70" s="2">
        <v>40</v>
      </c>
      <c r="I70" s="2">
        <f>G70+H70</f>
        <v>1704</v>
      </c>
      <c r="J70" s="2">
        <v>310</v>
      </c>
      <c r="K70" s="2">
        <v>70</v>
      </c>
      <c r="L70" s="2">
        <f>I70+J70+K70</f>
        <v>2084</v>
      </c>
    </row>
    <row r="71" spans="1:12" x14ac:dyDescent="0.2">
      <c r="A71" s="5" t="s">
        <v>31</v>
      </c>
      <c r="B71" s="5">
        <v>10</v>
      </c>
      <c r="C71" s="5" t="s">
        <v>17</v>
      </c>
      <c r="D71" s="5" t="s">
        <v>25</v>
      </c>
      <c r="E71" s="2">
        <v>1600</v>
      </c>
      <c r="F71" s="7">
        <v>1.04</v>
      </c>
      <c r="G71" s="2">
        <f>E71*F71</f>
        <v>1664</v>
      </c>
      <c r="H71" s="2">
        <v>40</v>
      </c>
      <c r="I71" s="2">
        <f>G71+H71</f>
        <v>1704</v>
      </c>
      <c r="J71" s="2">
        <v>310</v>
      </c>
      <c r="K71" s="2">
        <v>120</v>
      </c>
      <c r="L71" s="2">
        <f>I71+J71+K71</f>
        <v>2134</v>
      </c>
    </row>
    <row r="72" spans="1:12" x14ac:dyDescent="0.2">
      <c r="A72" s="5" t="s">
        <v>31</v>
      </c>
      <c r="B72" s="5">
        <v>10</v>
      </c>
      <c r="C72" s="5" t="s">
        <v>18</v>
      </c>
      <c r="D72" s="5" t="s">
        <v>25</v>
      </c>
      <c r="E72" s="2">
        <v>1600</v>
      </c>
      <c r="F72" s="7">
        <v>1.04</v>
      </c>
      <c r="G72" s="2">
        <f>E72*F72</f>
        <v>1664</v>
      </c>
      <c r="H72" s="2">
        <v>40</v>
      </c>
      <c r="I72" s="2">
        <f>G72+H72</f>
        <v>1704</v>
      </c>
      <c r="J72" s="2">
        <v>310</v>
      </c>
      <c r="K72" s="2">
        <v>170</v>
      </c>
      <c r="L72" s="2">
        <f>I72+J72+K72</f>
        <v>2184</v>
      </c>
    </row>
    <row r="73" spans="1:12" x14ac:dyDescent="0.2">
      <c r="A73" s="5" t="s">
        <v>31</v>
      </c>
      <c r="B73" s="5">
        <v>10</v>
      </c>
      <c r="C73" s="5" t="s">
        <v>19</v>
      </c>
      <c r="D73" s="5" t="s">
        <v>25</v>
      </c>
      <c r="E73" s="2">
        <v>1600</v>
      </c>
      <c r="F73" s="7">
        <v>1.04</v>
      </c>
      <c r="G73" s="2">
        <f>E73*F73</f>
        <v>1664</v>
      </c>
      <c r="H73" s="2">
        <v>40</v>
      </c>
      <c r="I73" s="2">
        <f>G73+H73</f>
        <v>1704</v>
      </c>
      <c r="J73" s="2">
        <v>310</v>
      </c>
      <c r="K73" s="2">
        <v>220</v>
      </c>
      <c r="L73" s="2">
        <f>I73+J73+K73</f>
        <v>2234</v>
      </c>
    </row>
    <row r="74" spans="1:12" x14ac:dyDescent="0.2">
      <c r="A74" s="5" t="s">
        <v>32</v>
      </c>
      <c r="B74" s="5">
        <v>11</v>
      </c>
      <c r="C74" s="5" t="s">
        <v>13</v>
      </c>
      <c r="D74" s="5" t="s">
        <v>25</v>
      </c>
      <c r="E74" s="2">
        <v>1656</v>
      </c>
      <c r="F74" s="7">
        <v>1.04</v>
      </c>
      <c r="G74" s="2">
        <f>E74*F74</f>
        <v>1722.24</v>
      </c>
      <c r="H74" s="2">
        <v>40</v>
      </c>
      <c r="I74" s="2">
        <f>G74+H74</f>
        <v>1762.24</v>
      </c>
      <c r="J74" s="2">
        <v>180</v>
      </c>
      <c r="K74" s="2">
        <v>0</v>
      </c>
      <c r="L74" s="2">
        <f>I74+J74+K74</f>
        <v>1942.24</v>
      </c>
    </row>
    <row r="75" spans="1:12" x14ac:dyDescent="0.2">
      <c r="A75" s="5" t="s">
        <v>32</v>
      </c>
      <c r="B75" s="5">
        <v>11</v>
      </c>
      <c r="C75" s="5" t="s">
        <v>15</v>
      </c>
      <c r="D75" s="5" t="s">
        <v>25</v>
      </c>
      <c r="E75" s="2">
        <v>1656</v>
      </c>
      <c r="F75" s="7">
        <v>1.04</v>
      </c>
      <c r="G75" s="2">
        <f>E75*F75</f>
        <v>1722.24</v>
      </c>
      <c r="H75" s="2">
        <v>40</v>
      </c>
      <c r="I75" s="2">
        <f>G75+H75</f>
        <v>1762.24</v>
      </c>
      <c r="J75" s="2">
        <v>250</v>
      </c>
      <c r="K75" s="2">
        <v>0</v>
      </c>
      <c r="L75" s="2">
        <f>I75+J75+K75</f>
        <v>2012.24</v>
      </c>
    </row>
    <row r="76" spans="1:12" x14ac:dyDescent="0.2">
      <c r="A76" s="5" t="s">
        <v>32</v>
      </c>
      <c r="B76" s="5">
        <v>11</v>
      </c>
      <c r="C76" s="5" t="s">
        <v>16</v>
      </c>
      <c r="D76" s="5" t="s">
        <v>25</v>
      </c>
      <c r="E76" s="2">
        <v>1656</v>
      </c>
      <c r="F76" s="7">
        <v>1.04</v>
      </c>
      <c r="G76" s="2">
        <f>E76*F76</f>
        <v>1722.24</v>
      </c>
      <c r="H76" s="2">
        <v>40</v>
      </c>
      <c r="I76" s="2">
        <f>G76+H76</f>
        <v>1762.24</v>
      </c>
      <c r="J76" s="2">
        <v>310</v>
      </c>
      <c r="K76" s="2">
        <v>70</v>
      </c>
      <c r="L76" s="2">
        <f>I76+J76+K76</f>
        <v>2142.2399999999998</v>
      </c>
    </row>
    <row r="77" spans="1:12" x14ac:dyDescent="0.2">
      <c r="A77" s="5" t="s">
        <v>32</v>
      </c>
      <c r="B77" s="5">
        <v>11</v>
      </c>
      <c r="C77" s="5" t="s">
        <v>17</v>
      </c>
      <c r="D77" s="5" t="s">
        <v>25</v>
      </c>
      <c r="E77" s="2">
        <v>1656</v>
      </c>
      <c r="F77" s="7">
        <v>1.04</v>
      </c>
      <c r="G77" s="2">
        <f>E77*F77</f>
        <v>1722.24</v>
      </c>
      <c r="H77" s="2">
        <v>40</v>
      </c>
      <c r="I77" s="2">
        <f>G77+H77</f>
        <v>1762.24</v>
      </c>
      <c r="J77" s="2">
        <v>310</v>
      </c>
      <c r="K77" s="2">
        <v>120</v>
      </c>
      <c r="L77" s="2">
        <f>I77+J77+K77</f>
        <v>2192.2399999999998</v>
      </c>
    </row>
    <row r="78" spans="1:12" x14ac:dyDescent="0.2">
      <c r="A78" s="5" t="s">
        <v>32</v>
      </c>
      <c r="B78" s="5">
        <v>11</v>
      </c>
      <c r="C78" s="5" t="s">
        <v>18</v>
      </c>
      <c r="D78" s="5" t="s">
        <v>25</v>
      </c>
      <c r="E78" s="2">
        <v>1656</v>
      </c>
      <c r="F78" s="7">
        <v>1.04</v>
      </c>
      <c r="G78" s="2">
        <f>E78*F78</f>
        <v>1722.24</v>
      </c>
      <c r="H78" s="2">
        <v>40</v>
      </c>
      <c r="I78" s="2">
        <f>G78+H78</f>
        <v>1762.24</v>
      </c>
      <c r="J78" s="2">
        <v>310</v>
      </c>
      <c r="K78" s="2">
        <v>170</v>
      </c>
      <c r="L78" s="2">
        <f>I78+J78+K78</f>
        <v>2242.2399999999998</v>
      </c>
    </row>
    <row r="79" spans="1:12" x14ac:dyDescent="0.2">
      <c r="A79" s="5" t="s">
        <v>32</v>
      </c>
      <c r="B79" s="5">
        <v>11</v>
      </c>
      <c r="C79" s="5" t="s">
        <v>19</v>
      </c>
      <c r="D79" s="5" t="s">
        <v>25</v>
      </c>
      <c r="E79" s="2">
        <v>1656</v>
      </c>
      <c r="F79" s="7">
        <v>1.04</v>
      </c>
      <c r="G79" s="2">
        <f>E79*F79</f>
        <v>1722.24</v>
      </c>
      <c r="H79" s="2">
        <v>40</v>
      </c>
      <c r="I79" s="2">
        <f>G79+H79</f>
        <v>1762.24</v>
      </c>
      <c r="J79" s="2">
        <v>310</v>
      </c>
      <c r="K79" s="2">
        <v>220</v>
      </c>
      <c r="L79" s="2">
        <f>I79+J79+K79</f>
        <v>2292.2399999999998</v>
      </c>
    </row>
    <row r="80" spans="1:12" x14ac:dyDescent="0.2">
      <c r="A80" s="5" t="s">
        <v>33</v>
      </c>
      <c r="B80" s="5">
        <v>12</v>
      </c>
      <c r="C80" s="5" t="s">
        <v>13</v>
      </c>
      <c r="D80" s="5" t="s">
        <v>25</v>
      </c>
      <c r="E80" s="2">
        <v>1714</v>
      </c>
      <c r="F80" s="7">
        <v>1.04</v>
      </c>
      <c r="G80" s="2">
        <f>E80*F80</f>
        <v>1782.5600000000002</v>
      </c>
      <c r="H80" s="2">
        <v>40</v>
      </c>
      <c r="I80" s="2">
        <f>G80+H80</f>
        <v>1822.5600000000002</v>
      </c>
      <c r="J80" s="2">
        <v>180</v>
      </c>
      <c r="K80" s="2">
        <v>0</v>
      </c>
      <c r="L80" s="2">
        <f>I80+J80+K80</f>
        <v>2002.5600000000002</v>
      </c>
    </row>
    <row r="81" spans="1:12" x14ac:dyDescent="0.2">
      <c r="A81" s="5" t="s">
        <v>33</v>
      </c>
      <c r="B81" s="5">
        <v>12</v>
      </c>
      <c r="C81" s="5" t="s">
        <v>15</v>
      </c>
      <c r="D81" s="5" t="s">
        <v>25</v>
      </c>
      <c r="E81" s="2">
        <v>1714</v>
      </c>
      <c r="F81" s="7">
        <v>1.04</v>
      </c>
      <c r="G81" s="2">
        <f>E81*F81</f>
        <v>1782.5600000000002</v>
      </c>
      <c r="H81" s="2">
        <v>40</v>
      </c>
      <c r="I81" s="2">
        <f>G81+H81</f>
        <v>1822.5600000000002</v>
      </c>
      <c r="J81" s="2">
        <v>250</v>
      </c>
      <c r="K81" s="2">
        <v>0</v>
      </c>
      <c r="L81" s="2">
        <f>I81+J81+K81</f>
        <v>2072.5600000000004</v>
      </c>
    </row>
    <row r="82" spans="1:12" x14ac:dyDescent="0.2">
      <c r="A82" s="5" t="s">
        <v>33</v>
      </c>
      <c r="B82" s="5">
        <v>12</v>
      </c>
      <c r="C82" s="5" t="s">
        <v>16</v>
      </c>
      <c r="D82" s="5" t="s">
        <v>25</v>
      </c>
      <c r="E82" s="2">
        <v>1714</v>
      </c>
      <c r="F82" s="7">
        <v>1.04</v>
      </c>
      <c r="G82" s="2">
        <f>E82*F82</f>
        <v>1782.5600000000002</v>
      </c>
      <c r="H82" s="2">
        <v>40</v>
      </c>
      <c r="I82" s="2">
        <f>G82+H82</f>
        <v>1822.5600000000002</v>
      </c>
      <c r="J82" s="2">
        <v>310</v>
      </c>
      <c r="K82" s="2">
        <v>70</v>
      </c>
      <c r="L82" s="2">
        <f>I82+J82+K82</f>
        <v>2202.5600000000004</v>
      </c>
    </row>
    <row r="83" spans="1:12" x14ac:dyDescent="0.2">
      <c r="A83" s="5" t="s">
        <v>33</v>
      </c>
      <c r="B83" s="5">
        <v>12</v>
      </c>
      <c r="C83" s="5" t="s">
        <v>17</v>
      </c>
      <c r="D83" s="5" t="s">
        <v>25</v>
      </c>
      <c r="E83" s="2">
        <v>1714</v>
      </c>
      <c r="F83" s="7">
        <v>1.04</v>
      </c>
      <c r="G83" s="2">
        <f>E83*F83</f>
        <v>1782.5600000000002</v>
      </c>
      <c r="H83" s="2">
        <v>40</v>
      </c>
      <c r="I83" s="2">
        <f>G83+H83</f>
        <v>1822.5600000000002</v>
      </c>
      <c r="J83" s="2">
        <v>310</v>
      </c>
      <c r="K83" s="2">
        <v>120</v>
      </c>
      <c r="L83" s="2">
        <f>I83+J83+K83</f>
        <v>2252.5600000000004</v>
      </c>
    </row>
    <row r="84" spans="1:12" x14ac:dyDescent="0.2">
      <c r="A84" s="5" t="s">
        <v>33</v>
      </c>
      <c r="B84" s="5">
        <v>12</v>
      </c>
      <c r="C84" s="5" t="s">
        <v>18</v>
      </c>
      <c r="D84" s="5" t="s">
        <v>25</v>
      </c>
      <c r="E84" s="2">
        <v>1714</v>
      </c>
      <c r="F84" s="7">
        <v>1.04</v>
      </c>
      <c r="G84" s="2">
        <f>E84*F84</f>
        <v>1782.5600000000002</v>
      </c>
      <c r="H84" s="2">
        <v>40</v>
      </c>
      <c r="I84" s="2">
        <f>G84+H84</f>
        <v>1822.5600000000002</v>
      </c>
      <c r="J84" s="2">
        <v>310</v>
      </c>
      <c r="K84" s="2">
        <v>170</v>
      </c>
      <c r="L84" s="2">
        <f>I84+J84+K84</f>
        <v>2302.5600000000004</v>
      </c>
    </row>
    <row r="85" spans="1:12" x14ac:dyDescent="0.2">
      <c r="A85" s="5" t="s">
        <v>33</v>
      </c>
      <c r="B85" s="5">
        <v>12</v>
      </c>
      <c r="C85" s="5" t="s">
        <v>19</v>
      </c>
      <c r="D85" s="5" t="s">
        <v>25</v>
      </c>
      <c r="E85" s="2">
        <v>1714</v>
      </c>
      <c r="F85" s="7">
        <v>1.04</v>
      </c>
      <c r="G85" s="2">
        <f>E85*F85</f>
        <v>1782.5600000000002</v>
      </c>
      <c r="H85" s="2">
        <v>40</v>
      </c>
      <c r="I85" s="2">
        <f>G85+H85</f>
        <v>1822.5600000000002</v>
      </c>
      <c r="J85" s="2">
        <v>310</v>
      </c>
      <c r="K85" s="2">
        <v>220</v>
      </c>
      <c r="L85" s="2">
        <f>I85+J85+K85</f>
        <v>2352.5600000000004</v>
      </c>
    </row>
    <row r="86" spans="1:12" x14ac:dyDescent="0.2">
      <c r="A86" s="5" t="s">
        <v>34</v>
      </c>
      <c r="B86" s="5">
        <v>13</v>
      </c>
      <c r="C86" s="5" t="s">
        <v>13</v>
      </c>
      <c r="D86" s="5" t="s">
        <v>25</v>
      </c>
      <c r="E86" s="2">
        <v>1774</v>
      </c>
      <c r="F86" s="7">
        <v>1.04</v>
      </c>
      <c r="G86" s="2">
        <f>E86*F86</f>
        <v>1844.96</v>
      </c>
      <c r="H86" s="2">
        <v>40</v>
      </c>
      <c r="I86" s="2">
        <f>G86+H86</f>
        <v>1884.96</v>
      </c>
      <c r="J86" s="2">
        <v>180</v>
      </c>
      <c r="K86" s="2">
        <v>0</v>
      </c>
      <c r="L86" s="2">
        <f>I86+J86+K86</f>
        <v>2064.96</v>
      </c>
    </row>
    <row r="87" spans="1:12" x14ac:dyDescent="0.2">
      <c r="A87" s="5" t="s">
        <v>34</v>
      </c>
      <c r="B87" s="5">
        <v>13</v>
      </c>
      <c r="C87" s="5" t="s">
        <v>15</v>
      </c>
      <c r="D87" s="5" t="s">
        <v>25</v>
      </c>
      <c r="E87" s="2">
        <v>1774</v>
      </c>
      <c r="F87" s="7">
        <v>1.04</v>
      </c>
      <c r="G87" s="2">
        <f>E87*F87</f>
        <v>1844.96</v>
      </c>
      <c r="H87" s="2">
        <v>40</v>
      </c>
      <c r="I87" s="2">
        <f>G87+H87</f>
        <v>1884.96</v>
      </c>
      <c r="J87" s="2">
        <v>250</v>
      </c>
      <c r="K87" s="2">
        <v>0</v>
      </c>
      <c r="L87" s="2">
        <f>I87+J87+K87</f>
        <v>2134.96</v>
      </c>
    </row>
    <row r="88" spans="1:12" x14ac:dyDescent="0.2">
      <c r="A88" s="5" t="s">
        <v>34</v>
      </c>
      <c r="B88" s="5">
        <v>13</v>
      </c>
      <c r="C88" s="5" t="s">
        <v>16</v>
      </c>
      <c r="D88" s="5" t="s">
        <v>25</v>
      </c>
      <c r="E88" s="2">
        <v>1774</v>
      </c>
      <c r="F88" s="7">
        <v>1.04</v>
      </c>
      <c r="G88" s="2">
        <f>E88*F88</f>
        <v>1844.96</v>
      </c>
      <c r="H88" s="2">
        <v>40</v>
      </c>
      <c r="I88" s="2">
        <f>G88+H88</f>
        <v>1884.96</v>
      </c>
      <c r="J88" s="2">
        <v>310</v>
      </c>
      <c r="K88" s="2">
        <v>70</v>
      </c>
      <c r="L88" s="2">
        <f>I88+J88+K88</f>
        <v>2264.96</v>
      </c>
    </row>
    <row r="89" spans="1:12" x14ac:dyDescent="0.2">
      <c r="A89" s="5" t="s">
        <v>34</v>
      </c>
      <c r="B89" s="5">
        <v>13</v>
      </c>
      <c r="C89" s="5" t="s">
        <v>17</v>
      </c>
      <c r="D89" s="5" t="s">
        <v>25</v>
      </c>
      <c r="E89" s="2">
        <v>1774</v>
      </c>
      <c r="F89" s="7">
        <v>1.04</v>
      </c>
      <c r="G89" s="2">
        <f>E89*F89</f>
        <v>1844.96</v>
      </c>
      <c r="H89" s="2">
        <v>40</v>
      </c>
      <c r="I89" s="2">
        <f>G89+H89</f>
        <v>1884.96</v>
      </c>
      <c r="J89" s="2">
        <v>310</v>
      </c>
      <c r="K89" s="2">
        <v>120</v>
      </c>
      <c r="L89" s="2">
        <f>I89+J89+K89</f>
        <v>2314.96</v>
      </c>
    </row>
    <row r="90" spans="1:12" x14ac:dyDescent="0.2">
      <c r="A90" s="5" t="s">
        <v>34</v>
      </c>
      <c r="B90" s="5">
        <v>13</v>
      </c>
      <c r="C90" s="5" t="s">
        <v>18</v>
      </c>
      <c r="D90" s="5" t="s">
        <v>25</v>
      </c>
      <c r="E90" s="2">
        <v>1774</v>
      </c>
      <c r="F90" s="7">
        <v>1.04</v>
      </c>
      <c r="G90" s="2">
        <f>E90*F90</f>
        <v>1844.96</v>
      </c>
      <c r="H90" s="2">
        <v>40</v>
      </c>
      <c r="I90" s="2">
        <f>G90+H90</f>
        <v>1884.96</v>
      </c>
      <c r="J90" s="2">
        <v>310</v>
      </c>
      <c r="K90" s="2">
        <v>170</v>
      </c>
      <c r="L90" s="2">
        <f>I90+J90+K90</f>
        <v>2364.96</v>
      </c>
    </row>
    <row r="91" spans="1:12" x14ac:dyDescent="0.2">
      <c r="A91" s="5" t="s">
        <v>34</v>
      </c>
      <c r="B91" s="5">
        <v>13</v>
      </c>
      <c r="C91" s="5" t="s">
        <v>19</v>
      </c>
      <c r="D91" s="5" t="s">
        <v>25</v>
      </c>
      <c r="E91" s="2">
        <v>1774</v>
      </c>
      <c r="F91" s="7">
        <v>1.04</v>
      </c>
      <c r="G91" s="2">
        <f>E91*F91</f>
        <v>1844.96</v>
      </c>
      <c r="H91" s="2">
        <v>40</v>
      </c>
      <c r="I91" s="2">
        <f>G91+H91</f>
        <v>1884.96</v>
      </c>
      <c r="J91" s="2">
        <v>310</v>
      </c>
      <c r="K91" s="2">
        <v>220</v>
      </c>
      <c r="L91" s="2">
        <f>I91+J91+K91</f>
        <v>2414.96</v>
      </c>
    </row>
    <row r="92" spans="1:12" x14ac:dyDescent="0.2">
      <c r="A92" s="5" t="s">
        <v>35</v>
      </c>
      <c r="B92" s="5">
        <v>14</v>
      </c>
      <c r="C92" s="5" t="s">
        <v>13</v>
      </c>
      <c r="D92" s="5" t="s">
        <v>25</v>
      </c>
      <c r="E92" s="2">
        <v>1836</v>
      </c>
      <c r="F92" s="7">
        <v>1.04</v>
      </c>
      <c r="G92" s="2">
        <f>E92*F92</f>
        <v>1909.44</v>
      </c>
      <c r="H92" s="2">
        <v>40</v>
      </c>
      <c r="I92" s="2">
        <f>G92+H92</f>
        <v>1949.44</v>
      </c>
      <c r="J92" s="2">
        <v>180</v>
      </c>
      <c r="K92" s="2">
        <v>0</v>
      </c>
      <c r="L92" s="2">
        <f>I92+J92+K92</f>
        <v>2129.44</v>
      </c>
    </row>
    <row r="93" spans="1:12" x14ac:dyDescent="0.2">
      <c r="A93" s="5" t="s">
        <v>35</v>
      </c>
      <c r="B93" s="5">
        <v>14</v>
      </c>
      <c r="C93" s="5" t="s">
        <v>15</v>
      </c>
      <c r="D93" s="5" t="s">
        <v>25</v>
      </c>
      <c r="E93" s="2">
        <v>1836</v>
      </c>
      <c r="F93" s="7">
        <v>1.04</v>
      </c>
      <c r="G93" s="2">
        <f>E93*F93</f>
        <v>1909.44</v>
      </c>
      <c r="H93" s="2">
        <v>40</v>
      </c>
      <c r="I93" s="2">
        <f>G93+H93</f>
        <v>1949.44</v>
      </c>
      <c r="J93" s="2">
        <v>250</v>
      </c>
      <c r="K93" s="2">
        <v>0</v>
      </c>
      <c r="L93" s="2">
        <f>I93+J93+K93</f>
        <v>2199.44</v>
      </c>
    </row>
    <row r="94" spans="1:12" x14ac:dyDescent="0.2">
      <c r="A94" s="5" t="s">
        <v>35</v>
      </c>
      <c r="B94" s="5">
        <v>14</v>
      </c>
      <c r="C94" s="5" t="s">
        <v>16</v>
      </c>
      <c r="D94" s="5" t="s">
        <v>25</v>
      </c>
      <c r="E94" s="2">
        <v>1836</v>
      </c>
      <c r="F94" s="7">
        <v>1.04</v>
      </c>
      <c r="G94" s="2">
        <f>E94*F94</f>
        <v>1909.44</v>
      </c>
      <c r="H94" s="2">
        <v>40</v>
      </c>
      <c r="I94" s="2">
        <f>G94+H94</f>
        <v>1949.44</v>
      </c>
      <c r="J94" s="2">
        <v>310</v>
      </c>
      <c r="K94" s="2">
        <v>70</v>
      </c>
      <c r="L94" s="2">
        <f>I94+J94+K94</f>
        <v>2329.44</v>
      </c>
    </row>
    <row r="95" spans="1:12" x14ac:dyDescent="0.2">
      <c r="A95" s="5" t="s">
        <v>35</v>
      </c>
      <c r="B95" s="5">
        <v>14</v>
      </c>
      <c r="C95" s="5" t="s">
        <v>17</v>
      </c>
      <c r="D95" s="5" t="s">
        <v>25</v>
      </c>
      <c r="E95" s="2">
        <v>1836</v>
      </c>
      <c r="F95" s="7">
        <v>1.04</v>
      </c>
      <c r="G95" s="2">
        <f>E95*F95</f>
        <v>1909.44</v>
      </c>
      <c r="H95" s="2">
        <v>40</v>
      </c>
      <c r="I95" s="2">
        <f>G95+H95</f>
        <v>1949.44</v>
      </c>
      <c r="J95" s="2">
        <v>310</v>
      </c>
      <c r="K95" s="2">
        <v>120</v>
      </c>
      <c r="L95" s="2">
        <f>I95+J95+K95</f>
        <v>2379.44</v>
      </c>
    </row>
    <row r="96" spans="1:12" x14ac:dyDescent="0.2">
      <c r="A96" s="5" t="s">
        <v>35</v>
      </c>
      <c r="B96" s="5">
        <v>14</v>
      </c>
      <c r="C96" s="5" t="s">
        <v>18</v>
      </c>
      <c r="D96" s="5" t="s">
        <v>25</v>
      </c>
      <c r="E96" s="2">
        <v>1836</v>
      </c>
      <c r="F96" s="7">
        <v>1.04</v>
      </c>
      <c r="G96" s="2">
        <f>E96*F96</f>
        <v>1909.44</v>
      </c>
      <c r="H96" s="2">
        <v>40</v>
      </c>
      <c r="I96" s="2">
        <f>G96+H96</f>
        <v>1949.44</v>
      </c>
      <c r="J96" s="2">
        <v>310</v>
      </c>
      <c r="K96" s="2">
        <v>170</v>
      </c>
      <c r="L96" s="2">
        <f>I96+J96+K96</f>
        <v>2429.44</v>
      </c>
    </row>
    <row r="97" spans="1:12" x14ac:dyDescent="0.2">
      <c r="A97" s="5" t="s">
        <v>35</v>
      </c>
      <c r="B97" s="5">
        <v>14</v>
      </c>
      <c r="C97" s="5" t="s">
        <v>19</v>
      </c>
      <c r="D97" s="5" t="s">
        <v>25</v>
      </c>
      <c r="E97" s="2">
        <v>1836</v>
      </c>
      <c r="F97" s="7">
        <v>1.04</v>
      </c>
      <c r="G97" s="2">
        <f>E97*F97</f>
        <v>1909.44</v>
      </c>
      <c r="H97" s="2">
        <v>40</v>
      </c>
      <c r="I97" s="2">
        <f>G97+H97</f>
        <v>1949.44</v>
      </c>
      <c r="J97" s="2">
        <v>310</v>
      </c>
      <c r="K97" s="2">
        <v>220</v>
      </c>
      <c r="L97" s="2">
        <f>I97+J97+K97</f>
        <v>2479.44</v>
      </c>
    </row>
    <row r="98" spans="1:12" x14ac:dyDescent="0.2">
      <c r="A98" s="5" t="s">
        <v>36</v>
      </c>
      <c r="B98" s="5">
        <v>14</v>
      </c>
      <c r="C98" s="5" t="s">
        <v>13</v>
      </c>
      <c r="D98" s="5" t="s">
        <v>25</v>
      </c>
      <c r="E98" s="2">
        <v>1836</v>
      </c>
      <c r="F98" s="7">
        <v>1.07</v>
      </c>
      <c r="G98" s="2">
        <f>E98*F98</f>
        <v>1964.5200000000002</v>
      </c>
      <c r="H98" s="2">
        <v>40</v>
      </c>
      <c r="I98" s="2">
        <f>G98+H98</f>
        <v>2004.5200000000002</v>
      </c>
      <c r="J98" s="2">
        <v>190</v>
      </c>
      <c r="K98" s="2">
        <v>0</v>
      </c>
      <c r="L98" s="2">
        <f>I98+J98+K98</f>
        <v>2194.5200000000004</v>
      </c>
    </row>
    <row r="99" spans="1:12" x14ac:dyDescent="0.2">
      <c r="A99" s="5" t="s">
        <v>36</v>
      </c>
      <c r="B99" s="5">
        <v>14</v>
      </c>
      <c r="C99" s="5" t="s">
        <v>15</v>
      </c>
      <c r="D99" s="5" t="s">
        <v>25</v>
      </c>
      <c r="E99" s="2">
        <v>1836</v>
      </c>
      <c r="F99" s="7">
        <v>1.07</v>
      </c>
      <c r="G99" s="2">
        <f>E99*F99</f>
        <v>1964.5200000000002</v>
      </c>
      <c r="H99" s="2">
        <v>40</v>
      </c>
      <c r="I99" s="2">
        <f>G99+H99</f>
        <v>2004.5200000000002</v>
      </c>
      <c r="J99" s="2">
        <v>260</v>
      </c>
      <c r="K99" s="2">
        <v>0</v>
      </c>
      <c r="L99" s="2">
        <f>I99+J99+K99</f>
        <v>2264.5200000000004</v>
      </c>
    </row>
    <row r="100" spans="1:12" x14ac:dyDescent="0.2">
      <c r="A100" s="5" t="s">
        <v>36</v>
      </c>
      <c r="B100" s="5">
        <v>14</v>
      </c>
      <c r="C100" s="5" t="s">
        <v>16</v>
      </c>
      <c r="D100" s="5" t="s">
        <v>25</v>
      </c>
      <c r="E100" s="2">
        <v>1836</v>
      </c>
      <c r="F100" s="7">
        <v>1.07</v>
      </c>
      <c r="G100" s="2">
        <f>E100*F100</f>
        <v>1964.5200000000002</v>
      </c>
      <c r="H100" s="2">
        <v>40</v>
      </c>
      <c r="I100" s="2">
        <f>G100+H100</f>
        <v>2004.5200000000002</v>
      </c>
      <c r="J100" s="2">
        <v>320</v>
      </c>
      <c r="K100" s="2">
        <v>70</v>
      </c>
      <c r="L100" s="2">
        <f>I100+J100+K100</f>
        <v>2394.5200000000004</v>
      </c>
    </row>
    <row r="101" spans="1:12" x14ac:dyDescent="0.2">
      <c r="A101" s="5" t="s">
        <v>36</v>
      </c>
      <c r="B101" s="5">
        <v>14</v>
      </c>
      <c r="C101" s="5" t="s">
        <v>17</v>
      </c>
      <c r="D101" s="5" t="s">
        <v>25</v>
      </c>
      <c r="E101" s="2">
        <v>1836</v>
      </c>
      <c r="F101" s="7">
        <v>1.07</v>
      </c>
      <c r="G101" s="2">
        <f>E101*F101</f>
        <v>1964.5200000000002</v>
      </c>
      <c r="H101" s="2">
        <v>40</v>
      </c>
      <c r="I101" s="2">
        <f>G101+H101</f>
        <v>2004.5200000000002</v>
      </c>
      <c r="J101" s="2">
        <v>320</v>
      </c>
      <c r="K101" s="2">
        <v>120</v>
      </c>
      <c r="L101" s="2">
        <f>I101+J101+K101</f>
        <v>2444.5200000000004</v>
      </c>
    </row>
    <row r="102" spans="1:12" x14ac:dyDescent="0.2">
      <c r="A102" s="5" t="s">
        <v>36</v>
      </c>
      <c r="B102" s="5">
        <v>14</v>
      </c>
      <c r="C102" s="5" t="s">
        <v>18</v>
      </c>
      <c r="D102" s="5" t="s">
        <v>25</v>
      </c>
      <c r="E102" s="2">
        <v>1836</v>
      </c>
      <c r="F102" s="7">
        <v>1.07</v>
      </c>
      <c r="G102" s="2">
        <f>E102*F102</f>
        <v>1964.5200000000002</v>
      </c>
      <c r="H102" s="2">
        <v>40</v>
      </c>
      <c r="I102" s="2">
        <f>G102+H102</f>
        <v>2004.5200000000002</v>
      </c>
      <c r="J102" s="2">
        <v>320</v>
      </c>
      <c r="K102" s="2">
        <v>170</v>
      </c>
      <c r="L102" s="2">
        <f>I102+J102+K102</f>
        <v>2494.5200000000004</v>
      </c>
    </row>
    <row r="103" spans="1:12" x14ac:dyDescent="0.2">
      <c r="A103" s="5" t="s">
        <v>36</v>
      </c>
      <c r="B103" s="5">
        <v>14</v>
      </c>
      <c r="C103" s="5" t="s">
        <v>19</v>
      </c>
      <c r="D103" s="5" t="s">
        <v>25</v>
      </c>
      <c r="E103" s="2">
        <v>1836</v>
      </c>
      <c r="F103" s="7">
        <v>1.07</v>
      </c>
      <c r="G103" s="2">
        <f>E103*F103</f>
        <v>1964.5200000000002</v>
      </c>
      <c r="H103" s="2">
        <v>40</v>
      </c>
      <c r="I103" s="2">
        <f>G103+H103</f>
        <v>2004.5200000000002</v>
      </c>
      <c r="J103" s="2">
        <v>320</v>
      </c>
      <c r="K103" s="2">
        <v>220</v>
      </c>
      <c r="L103" s="2">
        <f>I103+J103+K103</f>
        <v>2544.5200000000004</v>
      </c>
    </row>
    <row r="104" spans="1:12" x14ac:dyDescent="0.2">
      <c r="A104" s="5" t="s">
        <v>37</v>
      </c>
      <c r="B104" s="5">
        <v>15</v>
      </c>
      <c r="C104" s="5" t="s">
        <v>13</v>
      </c>
      <c r="D104" s="5" t="s">
        <v>25</v>
      </c>
      <c r="E104" s="2">
        <v>1900</v>
      </c>
      <c r="F104" s="7">
        <v>1.07</v>
      </c>
      <c r="G104" s="2">
        <f>E104*F104</f>
        <v>2033.0000000000002</v>
      </c>
      <c r="H104" s="2">
        <v>40</v>
      </c>
      <c r="I104" s="2">
        <f>G104+H104</f>
        <v>2073</v>
      </c>
      <c r="J104" s="2">
        <v>190</v>
      </c>
      <c r="K104" s="2">
        <v>0</v>
      </c>
      <c r="L104" s="2">
        <f>I104+J104+K104</f>
        <v>2263</v>
      </c>
    </row>
    <row r="105" spans="1:12" x14ac:dyDescent="0.2">
      <c r="A105" s="5" t="s">
        <v>37</v>
      </c>
      <c r="B105" s="5">
        <v>15</v>
      </c>
      <c r="C105" s="5" t="s">
        <v>15</v>
      </c>
      <c r="D105" s="5" t="s">
        <v>25</v>
      </c>
      <c r="E105" s="2">
        <v>1900</v>
      </c>
      <c r="F105" s="7">
        <v>1.07</v>
      </c>
      <c r="G105" s="2">
        <f>E105*F105</f>
        <v>2033.0000000000002</v>
      </c>
      <c r="H105" s="2">
        <v>40</v>
      </c>
      <c r="I105" s="2">
        <f>G105+H105</f>
        <v>2073</v>
      </c>
      <c r="J105" s="2">
        <v>260</v>
      </c>
      <c r="K105" s="2">
        <v>0</v>
      </c>
      <c r="L105" s="2">
        <f>I105+J105+K105</f>
        <v>2333</v>
      </c>
    </row>
    <row r="106" spans="1:12" x14ac:dyDescent="0.2">
      <c r="A106" s="5" t="s">
        <v>37</v>
      </c>
      <c r="B106" s="5">
        <v>15</v>
      </c>
      <c r="C106" s="5" t="s">
        <v>16</v>
      </c>
      <c r="D106" s="5" t="s">
        <v>25</v>
      </c>
      <c r="E106" s="2">
        <v>1900</v>
      </c>
      <c r="F106" s="7">
        <v>1.07</v>
      </c>
      <c r="G106" s="2">
        <f>E106*F106</f>
        <v>2033.0000000000002</v>
      </c>
      <c r="H106" s="2">
        <v>40</v>
      </c>
      <c r="I106" s="2">
        <f>G106+H106</f>
        <v>2073</v>
      </c>
      <c r="J106" s="2">
        <v>320</v>
      </c>
      <c r="K106" s="2">
        <v>70</v>
      </c>
      <c r="L106" s="2">
        <f>I106+J106+K106</f>
        <v>2463</v>
      </c>
    </row>
    <row r="107" spans="1:12" x14ac:dyDescent="0.2">
      <c r="A107" s="5" t="s">
        <v>37</v>
      </c>
      <c r="B107" s="5">
        <v>15</v>
      </c>
      <c r="C107" s="5" t="s">
        <v>17</v>
      </c>
      <c r="D107" s="5" t="s">
        <v>25</v>
      </c>
      <c r="E107" s="2">
        <v>1900</v>
      </c>
      <c r="F107" s="7">
        <v>1.07</v>
      </c>
      <c r="G107" s="2">
        <f>E107*F107</f>
        <v>2033.0000000000002</v>
      </c>
      <c r="H107" s="2">
        <v>40</v>
      </c>
      <c r="I107" s="2">
        <f>G107+H107</f>
        <v>2073</v>
      </c>
      <c r="J107" s="2">
        <v>320</v>
      </c>
      <c r="K107" s="2">
        <v>120</v>
      </c>
      <c r="L107" s="2">
        <f>I107+J107+K107</f>
        <v>2513</v>
      </c>
    </row>
    <row r="108" spans="1:12" x14ac:dyDescent="0.2">
      <c r="A108" s="5" t="s">
        <v>37</v>
      </c>
      <c r="B108" s="5">
        <v>15</v>
      </c>
      <c r="C108" s="5" t="s">
        <v>18</v>
      </c>
      <c r="D108" s="5" t="s">
        <v>25</v>
      </c>
      <c r="E108" s="2">
        <v>1900</v>
      </c>
      <c r="F108" s="7">
        <v>1.07</v>
      </c>
      <c r="G108" s="2">
        <f>E108*F108</f>
        <v>2033.0000000000002</v>
      </c>
      <c r="H108" s="2">
        <v>40</v>
      </c>
      <c r="I108" s="2">
        <f>G108+H108</f>
        <v>2073</v>
      </c>
      <c r="J108" s="2">
        <v>320</v>
      </c>
      <c r="K108" s="2">
        <v>170</v>
      </c>
      <c r="L108" s="2">
        <f>I108+J108+K108</f>
        <v>2563</v>
      </c>
    </row>
    <row r="109" spans="1:12" x14ac:dyDescent="0.2">
      <c r="A109" s="5" t="s">
        <v>37</v>
      </c>
      <c r="B109" s="5">
        <v>15</v>
      </c>
      <c r="C109" s="5" t="s">
        <v>19</v>
      </c>
      <c r="D109" s="5" t="s">
        <v>25</v>
      </c>
      <c r="E109" s="2">
        <v>1900</v>
      </c>
      <c r="F109" s="7">
        <v>1.07</v>
      </c>
      <c r="G109" s="2">
        <f>E109*F109</f>
        <v>2033.0000000000002</v>
      </c>
      <c r="H109" s="2">
        <v>40</v>
      </c>
      <c r="I109" s="2">
        <f>G109+H109</f>
        <v>2073</v>
      </c>
      <c r="J109" s="2">
        <v>320</v>
      </c>
      <c r="K109" s="2">
        <v>220</v>
      </c>
      <c r="L109" s="2">
        <f>I109+J109+K109</f>
        <v>2613</v>
      </c>
    </row>
    <row r="110" spans="1:12" x14ac:dyDescent="0.2">
      <c r="A110" s="5" t="s">
        <v>38</v>
      </c>
      <c r="B110" s="5">
        <v>16</v>
      </c>
      <c r="C110" s="5" t="s">
        <v>13</v>
      </c>
      <c r="D110" s="5" t="s">
        <v>25</v>
      </c>
      <c r="E110" s="2">
        <v>1967</v>
      </c>
      <c r="F110" s="7">
        <v>1.07</v>
      </c>
      <c r="G110" s="2">
        <f>E110*F110</f>
        <v>2104.69</v>
      </c>
      <c r="H110" s="2">
        <v>40</v>
      </c>
      <c r="I110" s="2">
        <f>G110+H110</f>
        <v>2144.69</v>
      </c>
      <c r="J110" s="2">
        <v>190</v>
      </c>
      <c r="K110" s="2">
        <v>0</v>
      </c>
      <c r="L110" s="2">
        <f>I110+J110+K110</f>
        <v>2334.69</v>
      </c>
    </row>
    <row r="111" spans="1:12" x14ac:dyDescent="0.2">
      <c r="A111" s="5" t="s">
        <v>38</v>
      </c>
      <c r="B111" s="5">
        <v>16</v>
      </c>
      <c r="C111" s="5" t="s">
        <v>15</v>
      </c>
      <c r="D111" s="5" t="s">
        <v>25</v>
      </c>
      <c r="E111" s="2">
        <v>1967</v>
      </c>
      <c r="F111" s="7">
        <v>1.07</v>
      </c>
      <c r="G111" s="2">
        <f>E111*F111</f>
        <v>2104.69</v>
      </c>
      <c r="H111" s="2">
        <v>40</v>
      </c>
      <c r="I111" s="2">
        <f>G111+H111</f>
        <v>2144.69</v>
      </c>
      <c r="J111" s="2">
        <v>260</v>
      </c>
      <c r="K111" s="2">
        <v>0</v>
      </c>
      <c r="L111" s="2">
        <f>I111+J111+K111</f>
        <v>2404.69</v>
      </c>
    </row>
    <row r="112" spans="1:12" x14ac:dyDescent="0.2">
      <c r="A112" s="5" t="s">
        <v>38</v>
      </c>
      <c r="B112" s="5">
        <v>16</v>
      </c>
      <c r="C112" s="5" t="s">
        <v>16</v>
      </c>
      <c r="D112" s="5" t="s">
        <v>25</v>
      </c>
      <c r="E112" s="2">
        <v>1967</v>
      </c>
      <c r="F112" s="7">
        <v>1.07</v>
      </c>
      <c r="G112" s="2">
        <f>E112*F112</f>
        <v>2104.69</v>
      </c>
      <c r="H112" s="2">
        <v>40</v>
      </c>
      <c r="I112" s="2">
        <f>G112+H112</f>
        <v>2144.69</v>
      </c>
      <c r="J112" s="2">
        <v>320</v>
      </c>
      <c r="K112" s="2">
        <v>70</v>
      </c>
      <c r="L112" s="2">
        <f>I112+J112+K112</f>
        <v>2534.69</v>
      </c>
    </row>
    <row r="113" spans="1:12" x14ac:dyDescent="0.2">
      <c r="A113" s="5" t="s">
        <v>38</v>
      </c>
      <c r="B113" s="5">
        <v>16</v>
      </c>
      <c r="C113" s="5" t="s">
        <v>17</v>
      </c>
      <c r="D113" s="5" t="s">
        <v>25</v>
      </c>
      <c r="E113" s="2">
        <v>1967</v>
      </c>
      <c r="F113" s="7">
        <v>1.07</v>
      </c>
      <c r="G113" s="2">
        <f>E113*F113</f>
        <v>2104.69</v>
      </c>
      <c r="H113" s="2">
        <v>40</v>
      </c>
      <c r="I113" s="2">
        <f>G113+H113</f>
        <v>2144.69</v>
      </c>
      <c r="J113" s="2">
        <v>320</v>
      </c>
      <c r="K113" s="2">
        <v>120</v>
      </c>
      <c r="L113" s="2">
        <f>I113+J113+K113</f>
        <v>2584.69</v>
      </c>
    </row>
    <row r="114" spans="1:12" x14ac:dyDescent="0.2">
      <c r="A114" s="5" t="s">
        <v>38</v>
      </c>
      <c r="B114" s="5">
        <v>16</v>
      </c>
      <c r="C114" s="5" t="s">
        <v>18</v>
      </c>
      <c r="D114" s="5" t="s">
        <v>25</v>
      </c>
      <c r="E114" s="2">
        <v>1967</v>
      </c>
      <c r="F114" s="7">
        <v>1.07</v>
      </c>
      <c r="G114" s="2">
        <f>E114*F114</f>
        <v>2104.69</v>
      </c>
      <c r="H114" s="2">
        <v>40</v>
      </c>
      <c r="I114" s="2">
        <f>G114+H114</f>
        <v>2144.69</v>
      </c>
      <c r="J114" s="2">
        <v>320</v>
      </c>
      <c r="K114" s="2">
        <v>170</v>
      </c>
      <c r="L114" s="2">
        <f>I114+J114+K114</f>
        <v>2634.69</v>
      </c>
    </row>
    <row r="115" spans="1:12" x14ac:dyDescent="0.2">
      <c r="A115" s="5" t="s">
        <v>38</v>
      </c>
      <c r="B115" s="5">
        <v>16</v>
      </c>
      <c r="C115" s="5" t="s">
        <v>19</v>
      </c>
      <c r="D115" s="5" t="s">
        <v>25</v>
      </c>
      <c r="E115" s="2">
        <v>1967</v>
      </c>
      <c r="F115" s="7">
        <v>1.07</v>
      </c>
      <c r="G115" s="2">
        <f>E115*F115</f>
        <v>2104.69</v>
      </c>
      <c r="H115" s="2">
        <v>40</v>
      </c>
      <c r="I115" s="2">
        <f>G115+H115</f>
        <v>2144.69</v>
      </c>
      <c r="J115" s="2">
        <v>320</v>
      </c>
      <c r="K115" s="2">
        <v>220</v>
      </c>
      <c r="L115" s="2">
        <f>I115+J115+K115</f>
        <v>2684.69</v>
      </c>
    </row>
    <row r="116" spans="1:12" x14ac:dyDescent="0.2">
      <c r="A116" s="5" t="s">
        <v>39</v>
      </c>
      <c r="B116" s="5">
        <v>17</v>
      </c>
      <c r="C116" s="5" t="s">
        <v>13</v>
      </c>
      <c r="D116" s="5" t="s">
        <v>25</v>
      </c>
      <c r="E116" s="2">
        <v>2036</v>
      </c>
      <c r="F116" s="7">
        <v>1.07</v>
      </c>
      <c r="G116" s="2">
        <f>E116*F116</f>
        <v>2178.52</v>
      </c>
      <c r="H116" s="2">
        <v>40</v>
      </c>
      <c r="I116" s="2">
        <f>G116+H116</f>
        <v>2218.52</v>
      </c>
      <c r="J116" s="2">
        <v>190</v>
      </c>
      <c r="K116" s="2">
        <v>0</v>
      </c>
      <c r="L116" s="2">
        <f>I116+J116+K116</f>
        <v>2408.52</v>
      </c>
    </row>
    <row r="117" spans="1:12" x14ac:dyDescent="0.2">
      <c r="A117" s="5" t="s">
        <v>39</v>
      </c>
      <c r="B117" s="5">
        <v>17</v>
      </c>
      <c r="C117" s="5" t="s">
        <v>15</v>
      </c>
      <c r="D117" s="5" t="s">
        <v>25</v>
      </c>
      <c r="E117" s="2">
        <v>2036</v>
      </c>
      <c r="F117" s="7">
        <v>1.07</v>
      </c>
      <c r="G117" s="2">
        <f>E117*F117</f>
        <v>2178.52</v>
      </c>
      <c r="H117" s="2">
        <v>40</v>
      </c>
      <c r="I117" s="2">
        <f>G117+H117</f>
        <v>2218.52</v>
      </c>
      <c r="J117" s="2">
        <v>260</v>
      </c>
      <c r="K117" s="2">
        <v>0</v>
      </c>
      <c r="L117" s="2">
        <f>I117+J117+K117</f>
        <v>2478.52</v>
      </c>
    </row>
    <row r="118" spans="1:12" x14ac:dyDescent="0.2">
      <c r="A118" s="5" t="s">
        <v>39</v>
      </c>
      <c r="B118" s="5">
        <v>17</v>
      </c>
      <c r="C118" s="5" t="s">
        <v>16</v>
      </c>
      <c r="D118" s="5" t="s">
        <v>25</v>
      </c>
      <c r="E118" s="2">
        <v>2036</v>
      </c>
      <c r="F118" s="7">
        <v>1.07</v>
      </c>
      <c r="G118" s="2">
        <f>E118*F118</f>
        <v>2178.52</v>
      </c>
      <c r="H118" s="2">
        <v>40</v>
      </c>
      <c r="I118" s="2">
        <f>G118+H118</f>
        <v>2218.52</v>
      </c>
      <c r="J118" s="2">
        <v>320</v>
      </c>
      <c r="K118" s="2">
        <v>70</v>
      </c>
      <c r="L118" s="2">
        <f>I118+J118+K118</f>
        <v>2608.52</v>
      </c>
    </row>
    <row r="119" spans="1:12" x14ac:dyDescent="0.2">
      <c r="A119" s="5" t="s">
        <v>39</v>
      </c>
      <c r="B119" s="5">
        <v>17</v>
      </c>
      <c r="C119" s="5" t="s">
        <v>17</v>
      </c>
      <c r="D119" s="5" t="s">
        <v>25</v>
      </c>
      <c r="E119" s="2">
        <v>2036</v>
      </c>
      <c r="F119" s="7">
        <v>1.07</v>
      </c>
      <c r="G119" s="2">
        <f>E119*F119</f>
        <v>2178.52</v>
      </c>
      <c r="H119" s="2">
        <v>40</v>
      </c>
      <c r="I119" s="2">
        <f>G119+H119</f>
        <v>2218.52</v>
      </c>
      <c r="J119" s="2">
        <v>320</v>
      </c>
      <c r="K119" s="2">
        <v>120</v>
      </c>
      <c r="L119" s="2">
        <f>I119+J119+K119</f>
        <v>2658.52</v>
      </c>
    </row>
    <row r="120" spans="1:12" x14ac:dyDescent="0.2">
      <c r="A120" s="5" t="s">
        <v>39</v>
      </c>
      <c r="B120" s="5">
        <v>17</v>
      </c>
      <c r="C120" s="5" t="s">
        <v>18</v>
      </c>
      <c r="D120" s="5" t="s">
        <v>25</v>
      </c>
      <c r="E120" s="2">
        <v>2036</v>
      </c>
      <c r="F120" s="7">
        <v>1.07</v>
      </c>
      <c r="G120" s="2">
        <f>E120*F120</f>
        <v>2178.52</v>
      </c>
      <c r="H120" s="2">
        <v>40</v>
      </c>
      <c r="I120" s="2">
        <f>G120+H120</f>
        <v>2218.52</v>
      </c>
      <c r="J120" s="2">
        <v>320</v>
      </c>
      <c r="K120" s="2">
        <v>170</v>
      </c>
      <c r="L120" s="2">
        <f>I120+J120+K120</f>
        <v>2708.52</v>
      </c>
    </row>
    <row r="121" spans="1:12" x14ac:dyDescent="0.2">
      <c r="A121" s="5" t="s">
        <v>39</v>
      </c>
      <c r="B121" s="5">
        <v>17</v>
      </c>
      <c r="C121" s="5" t="s">
        <v>19</v>
      </c>
      <c r="D121" s="5" t="s">
        <v>25</v>
      </c>
      <c r="E121" s="2">
        <v>2036</v>
      </c>
      <c r="F121" s="7">
        <v>1.07</v>
      </c>
      <c r="G121" s="2">
        <f>E121*F121</f>
        <v>2178.52</v>
      </c>
      <c r="H121" s="2">
        <v>40</v>
      </c>
      <c r="I121" s="2">
        <f>G121+H121</f>
        <v>2218.52</v>
      </c>
      <c r="J121" s="2">
        <v>320</v>
      </c>
      <c r="K121" s="2">
        <v>220</v>
      </c>
      <c r="L121" s="2">
        <f>I121+J121+K121</f>
        <v>2758.52</v>
      </c>
    </row>
    <row r="122" spans="1:12" x14ac:dyDescent="0.2">
      <c r="A122" s="5" t="s">
        <v>40</v>
      </c>
      <c r="B122" s="5">
        <v>18</v>
      </c>
      <c r="C122" s="5" t="s">
        <v>13</v>
      </c>
      <c r="D122" s="5" t="s">
        <v>25</v>
      </c>
      <c r="E122" s="2">
        <v>2107</v>
      </c>
      <c r="F122" s="7">
        <v>1.07</v>
      </c>
      <c r="G122" s="2">
        <f>E122*F122</f>
        <v>2254.4900000000002</v>
      </c>
      <c r="H122" s="2">
        <v>40</v>
      </c>
      <c r="I122" s="2">
        <f>G122+H122</f>
        <v>2294.4900000000002</v>
      </c>
      <c r="J122" s="2">
        <v>190</v>
      </c>
      <c r="K122" s="2">
        <v>0</v>
      </c>
      <c r="L122" s="2">
        <f>I122+J122+K122</f>
        <v>2484.4900000000002</v>
      </c>
    </row>
    <row r="123" spans="1:12" x14ac:dyDescent="0.2">
      <c r="A123" s="5" t="s">
        <v>40</v>
      </c>
      <c r="B123" s="5">
        <v>18</v>
      </c>
      <c r="C123" s="5" t="s">
        <v>15</v>
      </c>
      <c r="D123" s="5" t="s">
        <v>25</v>
      </c>
      <c r="E123" s="2">
        <v>2107</v>
      </c>
      <c r="F123" s="7">
        <v>1.07</v>
      </c>
      <c r="G123" s="2">
        <f>E123*F123</f>
        <v>2254.4900000000002</v>
      </c>
      <c r="H123" s="2">
        <v>40</v>
      </c>
      <c r="I123" s="2">
        <f>G123+H123</f>
        <v>2294.4900000000002</v>
      </c>
      <c r="J123" s="2">
        <v>260</v>
      </c>
      <c r="K123" s="2">
        <v>0</v>
      </c>
      <c r="L123" s="2">
        <f>I123+J123+K123</f>
        <v>2554.4900000000002</v>
      </c>
    </row>
    <row r="124" spans="1:12" x14ac:dyDescent="0.2">
      <c r="A124" s="5" t="s">
        <v>40</v>
      </c>
      <c r="B124" s="5">
        <v>18</v>
      </c>
      <c r="C124" s="5" t="s">
        <v>16</v>
      </c>
      <c r="D124" s="5" t="s">
        <v>25</v>
      </c>
      <c r="E124" s="2">
        <v>2107</v>
      </c>
      <c r="F124" s="7">
        <v>1.07</v>
      </c>
      <c r="G124" s="2">
        <f>E124*F124</f>
        <v>2254.4900000000002</v>
      </c>
      <c r="H124" s="2">
        <v>40</v>
      </c>
      <c r="I124" s="2">
        <f>G124+H124</f>
        <v>2294.4900000000002</v>
      </c>
      <c r="J124" s="2">
        <v>320</v>
      </c>
      <c r="K124" s="2">
        <v>70</v>
      </c>
      <c r="L124" s="2">
        <f>I124+J124+K124</f>
        <v>2684.4900000000002</v>
      </c>
    </row>
    <row r="125" spans="1:12" x14ac:dyDescent="0.2">
      <c r="A125" s="5" t="s">
        <v>40</v>
      </c>
      <c r="B125" s="5">
        <v>18</v>
      </c>
      <c r="C125" s="5" t="s">
        <v>17</v>
      </c>
      <c r="D125" s="5" t="s">
        <v>25</v>
      </c>
      <c r="E125" s="2">
        <v>2107</v>
      </c>
      <c r="F125" s="7">
        <v>1.07</v>
      </c>
      <c r="G125" s="2">
        <f>E125*F125</f>
        <v>2254.4900000000002</v>
      </c>
      <c r="H125" s="2">
        <v>40</v>
      </c>
      <c r="I125" s="2">
        <f>G125+H125</f>
        <v>2294.4900000000002</v>
      </c>
      <c r="J125" s="2">
        <v>320</v>
      </c>
      <c r="K125" s="2">
        <v>120</v>
      </c>
      <c r="L125" s="2">
        <f>I125+J125+K125</f>
        <v>2734.4900000000002</v>
      </c>
    </row>
    <row r="126" spans="1:12" x14ac:dyDescent="0.2">
      <c r="A126" s="5" t="s">
        <v>40</v>
      </c>
      <c r="B126" s="5">
        <v>18</v>
      </c>
      <c r="C126" s="5" t="s">
        <v>18</v>
      </c>
      <c r="D126" s="5" t="s">
        <v>25</v>
      </c>
      <c r="E126" s="2">
        <v>2107</v>
      </c>
      <c r="F126" s="7">
        <v>1.07</v>
      </c>
      <c r="G126" s="2">
        <f>E126*F126</f>
        <v>2254.4900000000002</v>
      </c>
      <c r="H126" s="2">
        <v>40</v>
      </c>
      <c r="I126" s="2">
        <f>G126+H126</f>
        <v>2294.4900000000002</v>
      </c>
      <c r="J126" s="2">
        <v>320</v>
      </c>
      <c r="K126" s="2">
        <v>170</v>
      </c>
      <c r="L126" s="2">
        <f>I126+J126+K126</f>
        <v>2784.4900000000002</v>
      </c>
    </row>
    <row r="127" spans="1:12" x14ac:dyDescent="0.2">
      <c r="A127" s="5" t="s">
        <v>40</v>
      </c>
      <c r="B127" s="5">
        <v>18</v>
      </c>
      <c r="C127" s="5" t="s">
        <v>19</v>
      </c>
      <c r="D127" s="5" t="s">
        <v>25</v>
      </c>
      <c r="E127" s="2">
        <v>2107</v>
      </c>
      <c r="F127" s="7">
        <v>1.07</v>
      </c>
      <c r="G127" s="2">
        <f>E127*F127</f>
        <v>2254.4900000000002</v>
      </c>
      <c r="H127" s="2">
        <v>40</v>
      </c>
      <c r="I127" s="2">
        <f>G127+H127</f>
        <v>2294.4900000000002</v>
      </c>
      <c r="J127" s="2">
        <v>320</v>
      </c>
      <c r="K127" s="2">
        <v>220</v>
      </c>
      <c r="L127" s="2">
        <f>I127+J127+K127</f>
        <v>2834.4900000000002</v>
      </c>
    </row>
    <row r="128" spans="1:12" x14ac:dyDescent="0.2">
      <c r="A128" s="5" t="s">
        <v>41</v>
      </c>
      <c r="B128" s="5">
        <v>19</v>
      </c>
      <c r="C128" s="5" t="s">
        <v>13</v>
      </c>
      <c r="D128" s="5" t="s">
        <v>25</v>
      </c>
      <c r="E128" s="2">
        <v>2149</v>
      </c>
      <c r="F128" s="7">
        <v>1.07</v>
      </c>
      <c r="G128" s="2">
        <f>E128*F128</f>
        <v>2299.4300000000003</v>
      </c>
      <c r="H128" s="2">
        <v>40</v>
      </c>
      <c r="I128" s="2">
        <f>G128+H128</f>
        <v>2339.4300000000003</v>
      </c>
      <c r="J128" s="2">
        <v>190</v>
      </c>
      <c r="K128" s="2">
        <v>0</v>
      </c>
      <c r="L128" s="2">
        <f>I128+J128+K128</f>
        <v>2529.4300000000003</v>
      </c>
    </row>
    <row r="129" spans="1:12" x14ac:dyDescent="0.2">
      <c r="A129" s="5" t="s">
        <v>41</v>
      </c>
      <c r="B129" s="5">
        <v>19</v>
      </c>
      <c r="C129" s="5" t="s">
        <v>15</v>
      </c>
      <c r="D129" s="5" t="s">
        <v>25</v>
      </c>
      <c r="E129" s="2">
        <v>2149</v>
      </c>
      <c r="F129" s="7">
        <v>1.07</v>
      </c>
      <c r="G129" s="2">
        <f>E129*F129</f>
        <v>2299.4300000000003</v>
      </c>
      <c r="H129" s="2">
        <v>40</v>
      </c>
      <c r="I129" s="2">
        <f>G129+H129</f>
        <v>2339.4300000000003</v>
      </c>
      <c r="J129" s="2">
        <v>260</v>
      </c>
      <c r="K129" s="2">
        <v>0</v>
      </c>
      <c r="L129" s="2">
        <f>I129+J129+K129</f>
        <v>2599.4300000000003</v>
      </c>
    </row>
    <row r="130" spans="1:12" x14ac:dyDescent="0.2">
      <c r="A130" s="5" t="s">
        <v>41</v>
      </c>
      <c r="B130" s="5">
        <v>19</v>
      </c>
      <c r="C130" s="5" t="s">
        <v>16</v>
      </c>
      <c r="D130" s="5" t="s">
        <v>25</v>
      </c>
      <c r="E130" s="2">
        <v>2149</v>
      </c>
      <c r="F130" s="7">
        <v>1.07</v>
      </c>
      <c r="G130" s="2">
        <f>E130*F130</f>
        <v>2299.4300000000003</v>
      </c>
      <c r="H130" s="2">
        <v>40</v>
      </c>
      <c r="I130" s="2">
        <f>G130+H130</f>
        <v>2339.4300000000003</v>
      </c>
      <c r="J130" s="2">
        <v>320</v>
      </c>
      <c r="K130" s="2">
        <v>70</v>
      </c>
      <c r="L130" s="2">
        <f>I130+J130+K130</f>
        <v>2729.4300000000003</v>
      </c>
    </row>
    <row r="131" spans="1:12" x14ac:dyDescent="0.2">
      <c r="A131" s="5" t="s">
        <v>41</v>
      </c>
      <c r="B131" s="5">
        <v>19</v>
      </c>
      <c r="C131" s="5" t="s">
        <v>17</v>
      </c>
      <c r="D131" s="5" t="s">
        <v>25</v>
      </c>
      <c r="E131" s="2">
        <v>2149</v>
      </c>
      <c r="F131" s="7">
        <v>1.07</v>
      </c>
      <c r="G131" s="2">
        <f>E131*F131</f>
        <v>2299.4300000000003</v>
      </c>
      <c r="H131" s="2">
        <v>40</v>
      </c>
      <c r="I131" s="2">
        <f>G131+H131</f>
        <v>2339.4300000000003</v>
      </c>
      <c r="J131" s="2">
        <v>320</v>
      </c>
      <c r="K131" s="2">
        <v>120</v>
      </c>
      <c r="L131" s="2">
        <f>I131+J131+K131</f>
        <v>2779.4300000000003</v>
      </c>
    </row>
    <row r="132" spans="1:12" x14ac:dyDescent="0.2">
      <c r="A132" s="5" t="s">
        <v>41</v>
      </c>
      <c r="B132" s="5">
        <v>19</v>
      </c>
      <c r="C132" s="5" t="s">
        <v>18</v>
      </c>
      <c r="D132" s="5" t="s">
        <v>25</v>
      </c>
      <c r="E132" s="2">
        <v>2149</v>
      </c>
      <c r="F132" s="7">
        <v>1.07</v>
      </c>
      <c r="G132" s="2">
        <f>E132*F132</f>
        <v>2299.4300000000003</v>
      </c>
      <c r="H132" s="2">
        <v>40</v>
      </c>
      <c r="I132" s="2">
        <f>G132+H132</f>
        <v>2339.4300000000003</v>
      </c>
      <c r="J132" s="2">
        <v>320</v>
      </c>
      <c r="K132" s="2">
        <v>170</v>
      </c>
      <c r="L132" s="2">
        <f>I132+J132+K132</f>
        <v>2829.4300000000003</v>
      </c>
    </row>
    <row r="133" spans="1:12" x14ac:dyDescent="0.2">
      <c r="A133" s="5" t="s">
        <v>41</v>
      </c>
      <c r="B133" s="5">
        <v>19</v>
      </c>
      <c r="C133" s="5" t="s">
        <v>19</v>
      </c>
      <c r="D133" s="5" t="s">
        <v>25</v>
      </c>
      <c r="E133" s="2">
        <v>2149</v>
      </c>
      <c r="F133" s="7">
        <v>1.07</v>
      </c>
      <c r="G133" s="2">
        <f>E133*F133</f>
        <v>2299.4300000000003</v>
      </c>
      <c r="H133" s="2">
        <v>40</v>
      </c>
      <c r="I133" s="2">
        <f>G133+H133</f>
        <v>2339.4300000000003</v>
      </c>
      <c r="J133" s="2">
        <v>320</v>
      </c>
      <c r="K133" s="2">
        <v>220</v>
      </c>
      <c r="L133" s="2">
        <f>I133+J133+K133</f>
        <v>2879.4300000000003</v>
      </c>
    </row>
    <row r="134" spans="1:12" x14ac:dyDescent="0.2">
      <c r="A134" s="5" t="s">
        <v>42</v>
      </c>
      <c r="B134" s="5">
        <v>20</v>
      </c>
      <c r="C134" s="5" t="s">
        <v>13</v>
      </c>
      <c r="D134" s="5" t="s">
        <v>25</v>
      </c>
      <c r="E134" s="2">
        <v>2192</v>
      </c>
      <c r="F134" s="7">
        <v>1.07</v>
      </c>
      <c r="G134" s="2">
        <f>E134*F134</f>
        <v>2345.44</v>
      </c>
      <c r="H134" s="2">
        <v>40</v>
      </c>
      <c r="I134" s="2">
        <f>G134+H134</f>
        <v>2385.44</v>
      </c>
      <c r="J134" s="2">
        <v>190</v>
      </c>
      <c r="K134" s="2">
        <v>0</v>
      </c>
      <c r="L134" s="2">
        <f>I134+J134+K134</f>
        <v>2575.44</v>
      </c>
    </row>
    <row r="135" spans="1:12" x14ac:dyDescent="0.2">
      <c r="A135" s="5" t="s">
        <v>42</v>
      </c>
      <c r="B135" s="5">
        <v>20</v>
      </c>
      <c r="C135" s="5" t="s">
        <v>15</v>
      </c>
      <c r="D135" s="5" t="s">
        <v>25</v>
      </c>
      <c r="E135" s="2">
        <v>2192</v>
      </c>
      <c r="F135" s="7">
        <v>1.07</v>
      </c>
      <c r="G135" s="2">
        <f>E135*F135</f>
        <v>2345.44</v>
      </c>
      <c r="H135" s="2">
        <v>40</v>
      </c>
      <c r="I135" s="2">
        <f>G135+H135</f>
        <v>2385.44</v>
      </c>
      <c r="J135" s="2">
        <v>260</v>
      </c>
      <c r="K135" s="2">
        <v>0</v>
      </c>
      <c r="L135" s="2">
        <f>I135+J135+K135</f>
        <v>2645.44</v>
      </c>
    </row>
    <row r="136" spans="1:12" x14ac:dyDescent="0.2">
      <c r="A136" s="5" t="s">
        <v>42</v>
      </c>
      <c r="B136" s="5">
        <v>20</v>
      </c>
      <c r="C136" s="5" t="s">
        <v>16</v>
      </c>
      <c r="D136" s="5" t="s">
        <v>25</v>
      </c>
      <c r="E136" s="2">
        <v>2192</v>
      </c>
      <c r="F136" s="7">
        <v>1.07</v>
      </c>
      <c r="G136" s="2">
        <f>E136*F136</f>
        <v>2345.44</v>
      </c>
      <c r="H136" s="2">
        <v>40</v>
      </c>
      <c r="I136" s="2">
        <f>G136+H136</f>
        <v>2385.44</v>
      </c>
      <c r="J136" s="2">
        <v>320</v>
      </c>
      <c r="K136" s="2">
        <v>70</v>
      </c>
      <c r="L136" s="2">
        <f>I136+J136+K136</f>
        <v>2775.44</v>
      </c>
    </row>
    <row r="137" spans="1:12" x14ac:dyDescent="0.2">
      <c r="A137" s="5" t="s">
        <v>42</v>
      </c>
      <c r="B137" s="5">
        <v>20</v>
      </c>
      <c r="C137" s="5" t="s">
        <v>17</v>
      </c>
      <c r="D137" s="5" t="s">
        <v>25</v>
      </c>
      <c r="E137" s="2">
        <v>2192</v>
      </c>
      <c r="F137" s="7">
        <v>1.07</v>
      </c>
      <c r="G137" s="2">
        <f>E137*F137</f>
        <v>2345.44</v>
      </c>
      <c r="H137" s="2">
        <v>40</v>
      </c>
      <c r="I137" s="2">
        <f>G137+H137</f>
        <v>2385.44</v>
      </c>
      <c r="J137" s="2">
        <v>320</v>
      </c>
      <c r="K137" s="2">
        <v>120</v>
      </c>
      <c r="L137" s="2">
        <f>I137+J137+K137</f>
        <v>2825.44</v>
      </c>
    </row>
    <row r="138" spans="1:12" x14ac:dyDescent="0.2">
      <c r="A138" s="5" t="s">
        <v>42</v>
      </c>
      <c r="B138" s="5">
        <v>20</v>
      </c>
      <c r="C138" s="5" t="s">
        <v>18</v>
      </c>
      <c r="D138" s="5" t="s">
        <v>25</v>
      </c>
      <c r="E138" s="2">
        <v>2192</v>
      </c>
      <c r="F138" s="7">
        <v>1.07</v>
      </c>
      <c r="G138" s="2">
        <f>E138*F138</f>
        <v>2345.44</v>
      </c>
      <c r="H138" s="2">
        <v>40</v>
      </c>
      <c r="I138" s="2">
        <f>G138+H138</f>
        <v>2385.44</v>
      </c>
      <c r="J138" s="2">
        <v>320</v>
      </c>
      <c r="K138" s="2">
        <v>170</v>
      </c>
      <c r="L138" s="2">
        <f>I138+J138+K138</f>
        <v>2875.44</v>
      </c>
    </row>
    <row r="139" spans="1:12" x14ac:dyDescent="0.2">
      <c r="A139" s="8" t="s">
        <v>42</v>
      </c>
      <c r="B139" s="8">
        <v>20</v>
      </c>
      <c r="C139" s="8" t="s">
        <v>19</v>
      </c>
      <c r="D139" s="8" t="s">
        <v>25</v>
      </c>
      <c r="E139" s="9">
        <v>2192</v>
      </c>
      <c r="F139" s="10">
        <v>1.07</v>
      </c>
      <c r="G139" s="9">
        <f>E139*F139</f>
        <v>2345.44</v>
      </c>
      <c r="H139" s="9">
        <v>40</v>
      </c>
      <c r="I139" s="9">
        <f>G139+H139</f>
        <v>2385.44</v>
      </c>
      <c r="J139" s="9">
        <v>320</v>
      </c>
      <c r="K139" s="9">
        <v>220</v>
      </c>
      <c r="L139" s="9">
        <f>I139+J139+K139</f>
        <v>2925.44</v>
      </c>
    </row>
    <row r="141" spans="1:12" x14ac:dyDescent="0.2">
      <c r="A141" s="6" t="s">
        <v>43</v>
      </c>
      <c r="B141" s="4" t="s">
        <v>44</v>
      </c>
    </row>
    <row r="142" spans="1:12" x14ac:dyDescent="0.2">
      <c r="A142" s="11" t="s">
        <v>45</v>
      </c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</row>
  </sheetData>
  <mergeCells count="1">
    <mergeCell ref="A142:L142"/>
  </mergeCells>
  <pageMargins left="0.75" right="0.75" top="1" bottom="1" header="0.5" footer="0.5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Νέα Πρόταση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2026-10-11T15:00:04Z</dcterms:created>
  <dcterms:modified xsi:type="dcterms:W3CDTF">2026-10-11T15:00:04Z</dcterms:modified>
</cp:coreProperties>
</file>